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tervenciones" sheetId="1" state="visible" r:id="rId3"/>
    <sheet name="Por palanca" sheetId="2" state="visible" r:id="rId4"/>
    <sheet name="Cajas del flujo" sheetId="3" state="visible" r:id="rId5"/>
  </sheets>
  <definedNames>
    <definedName function="false" hidden="true" localSheetId="0" name="_xlnm._FilterDatabase" vbProcedure="false">Intervenciones!$A$4:$S$38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<sst xmlns="http://schemas.openxmlformats.org/spreadsheetml/2006/main" count="585" uniqueCount="374">
  <si>
    <t xml:space="preserve">Intervenciones propuestas · P2R × MGT</t>
  </si>
  <si>
    <t xml:space="preserve">Una fila por intervención, con los campos en el orden del formulario «Nueva intervención». Responsable: lo trae la palanca. Confianza: EST. Las fechas siguen el plan de despliegue 2027–2028.</t>
  </si>
  <si>
    <t xml:space="preserve">ID</t>
  </si>
  <si>
    <t xml:space="preserve">Palanca origen</t>
  </si>
  <si>
    <t xml:space="preserve">Hallazgos que cura</t>
  </si>
  <si>
    <t xml:space="preserve">De qué es este trabajo</t>
  </si>
  <si>
    <t xml:space="preserve">Nombre</t>
  </si>
  <si>
    <t xml:space="preserve">Qué hay que hacer</t>
  </si>
  <si>
    <t xml:space="preserve">Cambia tareas del flujo</t>
  </si>
  <si>
    <t xml:space="preserve">Cajas del flujo → qué le pasa</t>
  </si>
  <si>
    <t xml:space="preserve">Qué queremos cambiar (para el comité)</t>
  </si>
  <si>
    <t xml:space="preserve">Cobertura objetivo %</t>
  </si>
  <si>
    <t xml:space="preserve">Excepción humana objetivo %</t>
  </si>
  <si>
    <t xml:space="preserve">Resultado esperado</t>
  </si>
  <si>
    <t xml:space="preserve">Criterio de éxito</t>
  </si>
  <si>
    <t xml:space="preserve">Empieza</t>
  </si>
  <si>
    <t xml:space="preserve">Termina (go-live)</t>
  </si>
  <si>
    <t xml:space="preserve">Confianza</t>
  </si>
  <si>
    <t xml:space="preserve">Depende de</t>
  </si>
  <si>
    <t xml:space="preserve">Lo que falta decidir</t>
  </si>
  <si>
    <t xml:space="preserve">Detalle del maestro</t>
  </si>
  <si>
    <t xml:space="preserve">01.1</t>
  </si>
  <si>
    <t xml:space="preserve">P2R-01 · Gestión de la demanda</t>
  </si>
  <si>
    <t xml:space="preserve">HT-P2R-01</t>
  </si>
  <si>
    <t xml:space="preserve">Negocio</t>
  </si>
  <si>
    <t xml:space="preserve">Previsión de papel de Ondupack por ciclo</t>
  </si>
  <si>
    <t xml:space="preserve">Acordar con Ondupack que, en cada ciclo, envíe la previsión de papel de los ciclos siguientes por calidad y ancho, además del pedido firme 10 días antes. Es la otra mitad de la intervención «Previsión de papel compartida con MGT/PDA» de Ondupack.</t>
  </si>
  <si>
    <t xml:space="preserve">No</t>
  </si>
  <si>
    <t xml:space="preserve">MGT planifica sus ciclos con lo que va a pedir Ondupack, no solo con lo que ya ha pedido.</t>
  </si>
  <si>
    <t xml:space="preserve">Previsión recibida en el 100 % de los ciclos y desviación pedido–previsión &lt; 15 %.</t>
  </si>
  <si>
    <t xml:space="preserve">EST</t>
  </si>
  <si>
    <t xml:space="preserve">Horizonte de la previsión (2–3 ciclos) · formato</t>
  </si>
  <si>
    <t xml:space="preserve">D-PL13</t>
  </si>
  <si>
    <t xml:space="preserve">01.2</t>
  </si>
  <si>
    <t xml:space="preserve">Previsión de los clientes externos repetitivos</t>
  </si>
  <si>
    <t xml:space="preserve">Identificar con Comercial los clientes externos con consumo repetitivo y acordar con ellos una previsión no vinculante por calidad y ancho, revisada en cada ciclo.</t>
  </si>
  <si>
    <t xml:space="preserve">La demanda externa repetitiva entra en el ciclo antes de que llegue el pedido.</t>
  </si>
  <si>
    <t xml:space="preserve">Previsión de ≥ 60 % del volumen externo repetitivo en cada ciclo.</t>
  </si>
  <si>
    <t xml:space="preserve">Criterio de cliente repetitivo · quién la recoge (Comercial o Joan Carles)</t>
  </si>
  <si>
    <t xml:space="preserve">D-PL03</t>
  </si>
  <si>
    <t xml:space="preserve">01.3</t>
  </si>
  <si>
    <t xml:space="preserve">Registro de las ventas perdidas</t>
  </si>
  <si>
    <t xml:space="preserve">Definir qué es una venta perdida (pedido rechazado, cantidad reducida o fecha no aceptada por capacidad) y registrarla con su motivo. Se captura en Salesforce, que es O2C; aquí se usa.</t>
  </si>
  <si>
    <t xml:space="preserve">Se sabe cuánta demanda se pierde y por qué.</t>
  </si>
  <si>
    <t xml:space="preserve">100 % de los pedidos rechazados o reducidos con motivo.</t>
  </si>
  <si>
    <t xml:space="preserve">D-PL04</t>
  </si>
  <si>
    <t xml:space="preserve">01.4</t>
  </si>
  <si>
    <t xml:space="preserve">Automatización</t>
  </si>
  <si>
    <t xml:space="preserve">Previsión del ciclo cargada en GIO</t>
  </si>
  <si>
    <t xml:space="preserve">La previsión de Ondupack y de los clientes repetitivos se carga en GIO para que la planificación del ciclo use cartera más previsión; cada pedido que llega consume previsión.</t>
  </si>
  <si>
    <t xml:space="preserve">Sí</t>
  </si>
  <si>
    <t xml:space="preserve">Previsión del próximo ciclo → Nueva tarea
Ciclo de producción de las 4 calidades → Se simplifica</t>
  </si>
  <si>
    <t xml:space="preserve">Nueva tarea de previsión en Demanda; el ciclo de las 4 calidades se planifica con cartera más previsión.</t>
  </si>
  <si>
    <t xml:space="preserve">El ciclo deja de planificarse solo con la cartera.</t>
  </si>
  <si>
    <t xml:space="preserve">Ciclos planificados con cartera y previsión desde marzo de 2028.</t>
  </si>
  <si>
    <t xml:space="preserve">Previsión de papel de Ondupack por ciclo · Previsión de los clientes externos repetitivos</t>
  </si>
  <si>
    <t xml:space="preserve">D-PL01</t>
  </si>
  <si>
    <t xml:space="preserve">01.5</t>
  </si>
  <si>
    <t xml:space="preserve">Agente</t>
  </si>
  <si>
    <t xml:space="preserve">Agente de previsión por calidad y ancho</t>
  </si>
  <si>
    <t xml:space="preserve">Propone la previsión de los próximos ciclos por calidad y ancho a partir de la previsión de Ondupack, el histórico de pedidos y las ventas perdidas. Planificación la valida.</t>
  </si>
  <si>
    <t xml:space="preserve">Previsión del próximo ciclo → Se simplifica</t>
  </si>
  <si>
    <t xml:space="preserve">La previsión de cada ciclo la prepara un agente; Planificación revisa las excepciones.</t>
  </si>
  <si>
    <t xml:space="preserve">La previsión de cada ciclo sale preparada y Planificación solo revisa las excepciones.</t>
  </si>
  <si>
    <t xml:space="preserve">Precisión ≥ 80 % por calidad y ≥ 80 % de las líneas sin ajuste manual.</t>
  </si>
  <si>
    <t xml:space="preserve">Previsión del ciclo cargada en GIO · Registro de las ventas perdidas (6 meses)</t>
  </si>
  <si>
    <t xml:space="preserve">02.1</t>
  </si>
  <si>
    <t xml:space="preserve">P2R-02 · S&amp;OP y plan de capacidad</t>
  </si>
  <si>
    <t xml:space="preserve">HT-P2R-03</t>
  </si>
  <si>
    <t xml:space="preserve">Política de llenado de capacidad</t>
  </si>
  <si>
    <t xml:space="preserve">Decidir con Dirección qué se fabrica cuando sobra capacidad (referencias repetitivas con mínimo y máximo, sobre todo las de Ondupack) y cuándo compensa parar, comparando el coste de parada con el coste del stock. Sustituye a la regla de «3 turnos siempre».</t>
  </si>
  <si>
    <t xml:space="preserve">El stock que se genera para llenar la máquina es una decisión económica, no una consecuencia.</t>
  </si>
  <si>
    <t xml:space="preserve">Política aprobada y € de stock sin pedido dentro del límite acordado.</t>
  </si>
  <si>
    <t xml:space="preserve">Coste de parada frente a coste de stock · referencias con las que se llena</t>
  </si>
  <si>
    <t xml:space="preserve">D-PL06</t>
  </si>
  <si>
    <t xml:space="preserve">02.2</t>
  </si>
  <si>
    <t xml:space="preserve">Revisión mensual de capacidad y ciclos</t>
  </si>
  <si>
    <t xml:space="preserve">Reunión mensual de Joan Carles con Comercial (Albert) y Dirección: carga frente a capacidad de los próximos ciclos, duración de cada calidad y pedidos que no caben.</t>
  </si>
  <si>
    <t xml:space="preserve">Los pedidos que no caben se ven y se hablan con el cliente antes de lanzar el ciclo.</t>
  </si>
  <si>
    <t xml:space="preserve">Decisión de ciclos documentada cada mes y 0 pedidos sin capacidad detectados después de lanzar el ciclo.</t>
  </si>
  <si>
    <t xml:space="preserve">02.3</t>
  </si>
  <si>
    <t xml:space="preserve">Carga a capacidad finita por ciclo</t>
  </si>
  <si>
    <t xml:space="preserve">GIO carga los pedidos a capacidad finita por ciclo y calidad y marca los que no caben al entrar, en lugar de cargar a capacidad infinita y revisarlos después.</t>
  </si>
  <si>
    <t xml:space="preserve">Carga a capacidad infinita · 3 turnos a velocidad máxima → Se simplifica
¿Pedidos sin capacidad para su fecha? → La hace el sistema</t>
  </si>
  <si>
    <t xml:space="preserve">La carga se hace a capacidad finita y el sistema marca solo los pedidos que no caben.</t>
  </si>
  <si>
    <t xml:space="preserve">Se sabe al entrar el pedido si cabe en el ciclo.</t>
  </si>
  <si>
    <t xml:space="preserve">100 % de los pedidos sin capacidad marcados al entrar.</t>
  </si>
  <si>
    <t xml:space="preserve">D-PL07</t>
  </si>
  <si>
    <t xml:space="preserve">02.4</t>
  </si>
  <si>
    <t xml:space="preserve">Propuesta de duración de los ciclos por calidad</t>
  </si>
  <si>
    <t xml:space="preserve">El sistema propone la duración de cada calidad en el próximo ciclo a partir de la cartera y la previsión. Joan Carles la ajusta.</t>
  </si>
  <si>
    <t xml:space="preserve">Duración por calidad (temporales) → La hace el sistema</t>
  </si>
  <si>
    <t xml:space="preserve">La duración de cada calidad la propone el sistema; el planificador la ajusta.</t>
  </si>
  <si>
    <t xml:space="preserve">La duración de cada calidad deja de decidirse sobre la marcha.</t>
  </si>
  <si>
    <t xml:space="preserve">Propuesta aceptada sin cambios en ≥ 80 % de los ciclos.</t>
  </si>
  <si>
    <t xml:space="preserve">D-PL12</t>
  </si>
  <si>
    <t xml:space="preserve">02.5</t>
  </si>
  <si>
    <t xml:space="preserve">Agente de escenarios de ciclo</t>
  </si>
  <si>
    <t xml:space="preserve">Simula alternativas de duración y orden de las calidades, paradas y stock, y propone el ciclo con su impacto en coste y servicio. Planificación lo aprueba en la revisión mensual.</t>
  </si>
  <si>
    <t xml:space="preserve">Ciclo de producción de las 4 calidades → Se simplifica</t>
  </si>
  <si>
    <t xml:space="preserve">El ciclo de las 4 calidades lo propone un agente con escenarios valorados; Planificación decide.</t>
  </si>
  <si>
    <t xml:space="preserve">Cada ciclo llega con un plan propuesto y valorado.</t>
  </si>
  <si>
    <t xml:space="preserve">≥ 70 % de los planes aprobados sin rehacer.</t>
  </si>
  <si>
    <t xml:space="preserve">Carga a capacidad finita · Propuesta de duración de los ciclos</t>
  </si>
  <si>
    <t xml:space="preserve">03.1</t>
  </si>
  <si>
    <t xml:space="preserve">P2R-03 · Política de inventario por segmento</t>
  </si>
  <si>
    <t xml:space="preserve">HT-P2R-04</t>
  </si>
  <si>
    <t xml:space="preserve">Pull system con Ondupack</t>
  </si>
  <si>
    <t xml:space="preserve">Definir con Ondupack qué referencias se reponen por pull, con un mínimo y un máximo en MGT. Ondupack retira cada día de ese stock y MGT lo repone al combinar sus ciclos.</t>
  </si>
  <si>
    <t xml:space="preserve">El stock de Ondupack en MGT tiene límites y deja de crecer sin control.</t>
  </si>
  <si>
    <t xml:space="preserve">Referencias pull con mínimo y máximo aprobados y stock intercompany dentro del máximo.</t>
  </si>
  <si>
    <t xml:space="preserve">Referencias, mínimos y máximos · de quién es el stock</t>
  </si>
  <si>
    <t xml:space="preserve">D-PL09, D-PL13</t>
  </si>
  <si>
    <t xml:space="preserve">03.2</t>
  </si>
  <si>
    <t xml:space="preserve">Ajuste del pedido intercompany a lo fabricado</t>
  </si>
  <si>
    <t xml:space="preserve">Cuando se fabrica más que el pedido de Ondupack dentro de una tolerancia, el pedido se modifica para que se lleve todo lo fabricado. La modificación se hace en O2C.</t>
  </si>
  <si>
    <t xml:space="preserve">Lo fabricado de más deja de quedarse en el almacén de MGT.</t>
  </si>
  <si>
    <t xml:space="preserve">0 excedentes de pedidos intercompany sin asignar a más de 30 días.</t>
  </si>
  <si>
    <t xml:space="preserve">Tolerancia de sobrefabricación</t>
  </si>
  <si>
    <t xml:space="preserve">D-PL09</t>
  </si>
  <si>
    <t xml:space="preserve">03.3</t>
  </si>
  <si>
    <t xml:space="preserve">Reposición automática por mínimo y máximo</t>
  </si>
  <si>
    <t xml:space="preserve">GIO genera la necesidad de reposición de las referencias pull cuando el stock baja del mínimo, y la mete en la cartera del próximo ciclo.</t>
  </si>
  <si>
    <t xml:space="preserve">Propuesta de fabricación de PT por pedido → Se simplifica</t>
  </si>
  <si>
    <t xml:space="preserve">Además de por pedido, el sistema propone fabricar para reponer las referencias pull.</t>
  </si>
  <si>
    <t xml:space="preserve">La reposición de las referencias pull no depende de un pedido manual.</t>
  </si>
  <si>
    <t xml:space="preserve">100 % de las roturas de mínimo con reposición en el siguiente ciclo.</t>
  </si>
  <si>
    <t xml:space="preserve">03.4</t>
  </si>
  <si>
    <t xml:space="preserve">Agente de stock intercompany</t>
  </si>
  <si>
    <t xml:space="preserve">Cada mes revisa la cobertura de las referencias de Ondupack en MGT, propone ajustar mínimos y máximos y avisa del stock que se queda sin salida.</t>
  </si>
  <si>
    <t xml:space="preserve">Revisión mensual del stock intercompany → Nueva tarea</t>
  </si>
  <si>
    <t xml:space="preserve">Nueva tarea mensual en S&amp;OP y Plan Maestro: un agente revisa el stock intercompany y propone ajustes.</t>
  </si>
  <si>
    <t xml:space="preserve">El stock intercompany se ajusta antes de que envejezca.</t>
  </si>
  <si>
    <t xml:space="preserve">€ de stock intercompany −20 % en 6 meses sin roturas en referencias pull.</t>
  </si>
  <si>
    <t xml:space="preserve">04.1</t>
  </si>
  <si>
    <t xml:space="preserve">P2R-04 · Promesa de fecha fiable</t>
  </si>
  <si>
    <t xml:space="preserve">HT-P2R-05</t>
  </si>
  <si>
    <t xml:space="preserve">Fecha confirmada por Planificación</t>
  </si>
  <si>
    <t xml:space="preserve">Cada pedido externo recibe una fecha confirmada por Planificación en un plazo fijo, distinta de la solicitada. Los pedidos de Ondupack llevan una fecha firme por ciclo, y cambiarla dentro del ciclo requiere acuerdo.</t>
  </si>
  <si>
    <t xml:space="preserve">Las fechas de los pedidos, también las de Ondupack, son fechas que se pueden cumplir.</t>
  </si>
  <si>
    <t xml:space="preserve">≥ 90 % de los pedidos con fecha confirmada en plazo.</t>
  </si>
  <si>
    <t xml:space="preserve">Plazo de confirmación · reglas de cambio para Ondupack</t>
  </si>
  <si>
    <t xml:space="preserve">D-PL11</t>
  </si>
  <si>
    <t xml:space="preserve">04.2</t>
  </si>
  <si>
    <t xml:space="preserve">Propuesta de fecha con la capacidad libre del ciclo</t>
  </si>
  <si>
    <t xml:space="preserve">Al entrar el pedido, el sistema propone la primera fecha posible según el ciclo de su calidad y la capacidad libre. Es el CTP que ya usa Ondupack en GIO, adaptado a ciclos de papel.</t>
  </si>
  <si>
    <t xml:space="preserve">Revisar capacidad para la fecha pedida → La hace el sistema</t>
  </si>
  <si>
    <t xml:space="preserve">La fecha la propone el sistema con la capacidad del ciclo, como ya se hace en Ondupack.</t>
  </si>
  <si>
    <t xml:space="preserve">La fecha se propone con datos en lugar de revisarse a mano.</t>
  </si>
  <si>
    <t xml:space="preserve">≥ 85 % de las fechas propuestas aceptadas sin cambios.</t>
  </si>
  <si>
    <t xml:space="preserve">D-PL10</t>
  </si>
  <si>
    <t xml:space="preserve">04.3</t>
  </si>
  <si>
    <t xml:space="preserve">Consulta</t>
  </si>
  <si>
    <t xml:space="preserve">Copiloto de plazos para Comercial</t>
  </si>
  <si>
    <t xml:space="preserve">Comercial pregunta «¿cuándo sale la próxima tirada de esta calidad y ancho?» y el copiloto responde con el plan de ciclos y la capacidad libre, sin llamar a Planificación.</t>
  </si>
  <si>
    <t xml:space="preserve">Revisar capacidad para la fecha pedida → Se simplifica</t>
  </si>
  <si>
    <t xml:space="preserve">Las consultas de plazo se resuelven con un copiloto.</t>
  </si>
  <si>
    <t xml:space="preserve">Comercial resuelve sola las consultas de plazo.</t>
  </si>
  <si>
    <t xml:space="preserve">−60 % de consultas de plazo a Planificación.</t>
  </si>
  <si>
    <t xml:space="preserve">D-PL25</t>
  </si>
  <si>
    <t xml:space="preserve">05.1</t>
  </si>
  <si>
    <t xml:space="preserve">P2R-05 · Planificación de materiales por excepción</t>
  </si>
  <si>
    <t xml:space="preserve">HT-P2R-07</t>
  </si>
  <si>
    <t xml:space="preserve">Planificación de la bobina madre</t>
  </si>
  <si>
    <t xml:space="preserve">Levantar y documentar cómo se planifica hoy la bobina madre por gramaje y calidad, quién lo hace y con qué dato.</t>
  </si>
  <si>
    <t xml:space="preserve">La planificación del semielaborado deja de ser una caja negra.</t>
  </si>
  <si>
    <t xml:space="preserve">Proceso documentado y con responsable.</t>
  </si>
  <si>
    <t xml:space="preserve">Quién planifica la bobina madre</t>
  </si>
  <si>
    <t xml:space="preserve">D-PL17</t>
  </si>
  <si>
    <t xml:space="preserve">05.2</t>
  </si>
  <si>
    <t xml:space="preserve">Entradas de báscula registradas en el momento</t>
  </si>
  <si>
    <t xml:space="preserve">Asignar quién registra en el sistema cada entrada de báscula en el momento, para que el consumo no llegue antes que la entrada y el stock no se descuadre. El registro es del proceso de inventario; aquí se usa.</t>
  </si>
  <si>
    <t xml:space="preserve">El stock de auxiliares y materias primas es fiable sin cuadrarlo dos veces al mes.</t>
  </si>
  <si>
    <t xml:space="preserve">Diferencias de stock &lt; 2 % sin cuadre manual.</t>
  </si>
  <si>
    <t xml:space="preserve">Proceso de inventario y almacén</t>
  </si>
  <si>
    <t xml:space="preserve">05.3</t>
  </si>
  <si>
    <t xml:space="preserve">MRP de materias primas en SAP</t>
  </si>
  <si>
    <t xml:space="preserve">Pasar el MRP de materias primas del Excel a SAP, como ya se hace con los auxiliares, alimentado con el plan de ciclos y con lead time, lote mínimo y stock de seguridad completos.</t>
  </si>
  <si>
    <t xml:space="preserve">MRP de materias primas en Excel → La hace el sistema</t>
  </si>
  <si>
    <t xml:space="preserve">El MRP de materias primas lo calcula SAP con el plan de ciclos; desaparece el Excel.</t>
  </si>
  <si>
    <t xml:space="preserve">Las necesidades de materias primas salen del sistema y no de una hoja personal.</t>
  </si>
  <si>
    <t xml:space="preserve">100 % de las materias primas planificadas en SAP.</t>
  </si>
  <si>
    <t xml:space="preserve">D-PL15, D-PL16</t>
  </si>
  <si>
    <t xml:space="preserve">05.4</t>
  </si>
  <si>
    <t xml:space="preserve">Agente de compras de materiales</t>
  </si>
  <si>
    <t xml:space="preserve">Revisa cada día los mensajes del MRP, propone las solicitudes de compra y avisa cuando el consumo se separa del plan. Marta Boyo y Joan Carles aprueban; el pedido sigue en P2P.</t>
  </si>
  <si>
    <t xml:space="preserve">Solicitud de compra y pedido → Se simplifica</t>
  </si>
  <si>
    <t xml:space="preserve">Las solicitudes de compra las prepara un agente a partir del MRP; las personas aprueban.</t>
  </si>
  <si>
    <t xml:space="preserve">Las solicitudes de compra salen preparadas y solo se revisan las excepciones.</t>
  </si>
  <si>
    <t xml:space="preserve">≥ 80 % de las solicitudes propuestas aceptadas sin cambios.</t>
  </si>
  <si>
    <t xml:space="preserve">D-PL14</t>
  </si>
  <si>
    <t xml:space="preserve">06.1</t>
  </si>
  <si>
    <t xml:space="preserve">P2R-06 · Programación estable y optimizada</t>
  </si>
  <si>
    <t xml:space="preserve">HT-P2R-08, HT-P2R-09</t>
  </si>
  <si>
    <t xml:space="preserve">Cierre de SIGPA (algoritmo de combinación)</t>
  </si>
  <si>
    <t xml:space="preserve">Cerrar las pruebas del algoritmo de combinación en MGT y PDA, como ya prevé el plan de sistemas.</t>
  </si>
  <si>
    <t xml:space="preserve">Algoritmo de combinación por ciclos → Se simplifica</t>
  </si>
  <si>
    <t xml:space="preserve">El algoritmo de combinación queda validado para usarse en cada ciclo.</t>
  </si>
  <si>
    <t xml:space="preserve">El algoritmo está validado y se puede usar como herramienta estándar.</t>
  </si>
  <si>
    <t xml:space="preserve">Pruebas cerradas y algoritmo en producción.</t>
  </si>
  <si>
    <t xml:space="preserve">D-PL18</t>
  </si>
  <si>
    <t xml:space="preserve">06.2</t>
  </si>
  <si>
    <t xml:space="preserve">Algoritmo con lo ya fabricado y fecha límite de cartera</t>
  </si>
  <si>
    <t xml:space="preserve">El algoritmo tiene en cuenta lo ya fabricado y el stock pull, y una fecha límite de cartera por ciclo. Su salida pasa a ser el estándar y la agrupación manual por calidad y ancho desaparece.</t>
  </si>
  <si>
    <t xml:space="preserve">Algoritmo de combinación por ciclos → Se simplifica
Agrupar por calidad y ancho → Desaparece</t>
  </si>
  <si>
    <t xml:space="preserve">La combinación la hace el algoritmo con lo ya fabricado; la agrupación manual desaparece.</t>
  </si>
  <si>
    <t xml:space="preserve">La combinación sale del algoritmo y no de una agrupación manual.</t>
  </si>
  <si>
    <t xml:space="preserve">≥ 90 % de los ciclos con la combinación del algoritmo y merma de recorte a la baja.</t>
  </si>
  <si>
    <t xml:space="preserve">Cierre de SIGPA · Pull system con Ondupack</t>
  </si>
  <si>
    <t xml:space="preserve">D-PL18, D-PL19</t>
  </si>
  <si>
    <t xml:space="preserve">06.3</t>
  </si>
  <si>
    <t xml:space="preserve">Zona congelada del ciclo y reglas de urgencia</t>
  </si>
  <si>
    <t xml:space="preserve">Fijar la fecha límite de cartera de cada ciclo (para Ondupack ya son 10 días) y una zona congelada. Definir qué es una urgencia, también la de Ondupack fuera de plazo, y quién decide.</t>
  </si>
  <si>
    <t xml:space="preserve">Las urgencias entran al ciclo con reglas conocidas.</t>
  </si>
  <si>
    <t xml:space="preserve">≤ 2 urgencias por ciclo dentro de la zona congelada y todas aprobadas.</t>
  </si>
  <si>
    <t xml:space="preserve">Días de la zona congelada · quién decide las urgencias</t>
  </si>
  <si>
    <t xml:space="preserve">D-PL08, D-PL20</t>
  </si>
  <si>
    <t xml:space="preserve">06.4</t>
  </si>
  <si>
    <t xml:space="preserve">Alertas de planificación</t>
  </si>
  <si>
    <t xml:space="preserve">El sistema avisa de los pedidos en riesgo, del impacto de una urgencia en el ciclo y de los cambios dentro de la zona congelada. Hoy no hay ninguna alerta.</t>
  </si>
  <si>
    <t xml:space="preserve">Encajar la urgencia a mano → Se simplifica</t>
  </si>
  <si>
    <t xml:space="preserve">El sistema avisa del impacto de cada urgencia; el planificador decide con esa información.</t>
  </si>
  <si>
    <t xml:space="preserve">Las urgencias y los riesgos se ven sin revisar el plan a mano.</t>
  </si>
  <si>
    <t xml:space="preserve">≥ 80 % de los atrasos avisados antes de la fecha.</t>
  </si>
  <si>
    <t xml:space="preserve">D-PL23</t>
  </si>
  <si>
    <t xml:space="preserve">06.5</t>
  </si>
  <si>
    <t xml:space="preserve">Agente de urgencias</t>
  </si>
  <si>
    <t xml:space="preserve">Ante una urgencia, comprueba si cabe en el ciclo y qué pedidos y combinaciones se ven afectados, aplica las reglas y propone la decisión. Si hay conflicto, la escala con el impacto calculado.</t>
  </si>
  <si>
    <t xml:space="preserve">Las urgencias las evalúa un agente; solo los conflictos llegan a Comercial.</t>
  </si>
  <si>
    <t xml:space="preserve">Cada urgencia se decide con su impacto delante.</t>
  </si>
  <si>
    <t xml:space="preserve">100 % de las urgencias con impacto calculado.</t>
  </si>
  <si>
    <t xml:space="preserve">D-PL20</t>
  </si>
  <si>
    <t xml:space="preserve">07.1</t>
  </si>
  <si>
    <t xml:space="preserve">P2R-07 · Liberación controlada</t>
  </si>
  <si>
    <t xml:space="preserve">HT-P2R-10</t>
  </si>
  <si>
    <t xml:space="preserve">Criterio de liberación</t>
  </si>
  <si>
    <t xml:space="preserve">Definir qué tiene que estar disponible para liberar una orden (materias primas, auxiliares y bobina madre) y que la orden llegue a producción en formato digital.</t>
  </si>
  <si>
    <t xml:space="preserve">Se libera con un criterio conocido y no según quién lo compruebe.</t>
  </si>
  <si>
    <t xml:space="preserve">Criterio publicado y aplicado al 100 % de las órdenes.</t>
  </si>
  <si>
    <t xml:space="preserve">D-PL22</t>
  </si>
  <si>
    <t xml:space="preserve">07.2</t>
  </si>
  <si>
    <t xml:space="preserve">Disponibilidad de material por orden</t>
  </si>
  <si>
    <t xml:space="preserve">El sistema muestra en cada orden si el material está y cuándo llega, a partir del MRP y de los pedidos de compra. Sustituye la comprobación manual en varios sitios.</t>
  </si>
  <si>
    <t xml:space="preserve">Comprobar a mano que hay material → La hace el sistema
¿Material disponible? → La hace el sistema
Seguir la llegada del material → Se simplifica</t>
  </si>
  <si>
    <t xml:space="preserve">La disponibilidad de material por orden la calcula el sistema; el seguimiento de llegadas se simplifica.</t>
  </si>
  <si>
    <t xml:space="preserve">El planificador ve en una pantalla qué órdenes puede liberar.</t>
  </si>
  <si>
    <t xml:space="preserve">Comprobación manual eliminada y 0 órdenes liberadas sin material.</t>
  </si>
  <si>
    <t xml:space="preserve">07.3</t>
  </si>
  <si>
    <t xml:space="preserve">Orden digital a producción</t>
  </si>
  <si>
    <t xml:space="preserve">La orden liberada llega a producción en pantalla, desde GIO, en lugar de imprimirse en papel.</t>
  </si>
  <si>
    <t xml:space="preserve">Liberar e imprimir la orden → Se simplifica</t>
  </si>
  <si>
    <t xml:space="preserve">La orden se libera en digital; desaparece la impresión en papel.</t>
  </si>
  <si>
    <t xml:space="preserve">Producción trabaja con la orden vigente y los cambios se ven al momento.</t>
  </si>
  <si>
    <t xml:space="preserve">0 órdenes en papel.</t>
  </si>
  <si>
    <t xml:space="preserve">Pantalla en línea o tablet · qué ve producción</t>
  </si>
  <si>
    <t xml:space="preserve">08.1</t>
  </si>
  <si>
    <t xml:space="preserve">P2R-08 · Control del servicio y mejora continua</t>
  </si>
  <si>
    <t xml:space="preserve">HT-P2R-11, HT-P2R-12</t>
  </si>
  <si>
    <t xml:space="preserve">Pilar de servicio semanal</t>
  </si>
  <si>
    <t xml:space="preserve">Reunión semanal fija entre MGT, Ondupack y Comercial: servicio, pedidos pendientes, atrasos y sus causas, y restos de pedidos antiguos por cerrar.</t>
  </si>
  <si>
    <t xml:space="preserve">Las incidencias se revisan con un día fijo y cada causa sale con una acción.</t>
  </si>
  <si>
    <t xml:space="preserve">Reunión celebrada el 100 % de las semanas y cada causa principal con acción.</t>
  </si>
  <si>
    <t xml:space="preserve">KPI de servicio</t>
  </si>
  <si>
    <t xml:space="preserve">D-PL24</t>
  </si>
  <si>
    <t xml:space="preserve">08.2</t>
  </si>
  <si>
    <t xml:space="preserve">Definir el OTIF contra fecha confirmada para clientes externos y para Ondupack, y publicarlo cada semana.</t>
  </si>
  <si>
    <t xml:space="preserve">Se sabe qué % del servicio se cumple, también hacia el grupo.</t>
  </si>
  <si>
    <t xml:space="preserve">KPI publicado cada semana desde diciembre de 2027.</t>
  </si>
  <si>
    <t xml:space="preserve">Objetivo de OTIF externo e intercompany</t>
  </si>
  <si>
    <t xml:space="preserve">08.3</t>
  </si>
  <si>
    <t xml:space="preserve">Visibilidad de stock y cargas para Ondupack</t>
  </si>
  <si>
    <t xml:space="preserve">Ondupack ve en línea el stock de MGT y la producción prevista, y pide las cargas desde ahí, en lugar de los unos 16 correos diarios. La carga la sigue ejecutando T2D.</t>
  </si>
  <si>
    <t xml:space="preserve">Enviar el stock a Ondupack cada día → Desaparece
Ondupack decide qué se carga al día siguiente → Se simplifica</t>
  </si>
  <si>
    <t xml:space="preserve">Ondupack consulta el stock y pide las cargas en línea; desaparece el envío diario de stock por correo.</t>
  </si>
  <si>
    <t xml:space="preserve">La coordinación diaria de entregas deja de hacerse por correo.</t>
  </si>
  <si>
    <t xml:space="preserve">−80 % de correos de coordinación de entregas.</t>
  </si>
  <si>
    <t xml:space="preserve">08.4</t>
  </si>
  <si>
    <t xml:space="preserve">Cuadro de mando de servicio</t>
  </si>
  <si>
    <t xml:space="preserve">OTIF, atrasos y pedidos en riesgo se calculan solos cada día, para externos y para Ondupack.</t>
  </si>
  <si>
    <t xml:space="preserve">Revisar incidencias por llamada → La hace el sistema</t>
  </si>
  <si>
    <t xml:space="preserve">El seguimiento de incidencias lo hace el sistema y avisa antes del atraso.</t>
  </si>
  <si>
    <t xml:space="preserve">Los atrasos se ven antes de que llegue la llamada.</t>
  </si>
  <si>
    <t xml:space="preserve">Cuadro de mando diario sin trabajo manual.</t>
  </si>
  <si>
    <t xml:space="preserve">08.5</t>
  </si>
  <si>
    <t xml:space="preserve">Agente de coordinación de cargas con Ondupack</t>
  </si>
  <si>
    <t xml:space="preserve">Lee las peticiones de Ondupack, comprueba stock y plan, y propone la carga del día siguiente dentro del mínimo y máximo acordados. Joan Carles aprueba.</t>
  </si>
  <si>
    <t xml:space="preserve">Ondupack decide qué se carga al día siguiente → Se simplifica</t>
  </si>
  <si>
    <t xml:space="preserve">Las cargas diarias a Ondupack las prepara un agente; Planificación las aprueba.</t>
  </si>
  <si>
    <t xml:space="preserve">La coordinación diaria con Ondupack sale preparada y solo se revisan las excepciones.</t>
  </si>
  <si>
    <t xml:space="preserve">≥ 80 % de las cargas propuestas aceptadas sin cambios.</t>
  </si>
  <si>
    <t xml:space="preserve">Resumen por palanca</t>
  </si>
  <si>
    <t xml:space="preserve">Se recalcula al cambiar la hoja Intervenciones.</t>
  </si>
  <si>
    <t xml:space="preserve">Palanca</t>
  </si>
  <si>
    <t xml:space="preserve">Hallazgos</t>
  </si>
  <si>
    <t xml:space="preserve">Intervenciones</t>
  </si>
  <si>
    <t xml:space="preserve">Último go-live</t>
  </si>
  <si>
    <t xml:space="preserve">P2R-01</t>
  </si>
  <si>
    <t xml:space="preserve">Gestión de la demanda</t>
  </si>
  <si>
    <t xml:space="preserve">P2R-02</t>
  </si>
  <si>
    <t xml:space="preserve">S&amp;OP y plan de capacidad</t>
  </si>
  <si>
    <t xml:space="preserve">P2R-03</t>
  </si>
  <si>
    <t xml:space="preserve">Política de inventario por segmento</t>
  </si>
  <si>
    <t xml:space="preserve">P2R-04</t>
  </si>
  <si>
    <t xml:space="preserve">Promesa de fecha fiable</t>
  </si>
  <si>
    <t xml:space="preserve">P2R-05</t>
  </si>
  <si>
    <t xml:space="preserve">Planificación de materiales por excepción</t>
  </si>
  <si>
    <t xml:space="preserve">P2R-06</t>
  </si>
  <si>
    <t xml:space="preserve">Programación estable y optimizada</t>
  </si>
  <si>
    <t xml:space="preserve">P2R-07</t>
  </si>
  <si>
    <t xml:space="preserve">Liberación controlada</t>
  </si>
  <si>
    <t xml:space="preserve">P2R-08</t>
  </si>
  <si>
    <t xml:space="preserve">Control del servicio y mejora continua</t>
  </si>
  <si>
    <t xml:space="preserve">Total</t>
  </si>
  <si>
    <t xml:space="preserve">Cajas del flujo as-is de MGT que cambian</t>
  </si>
  <si>
    <t xml:space="preserve">Lo que el to-be pintará en cada caja. «Nueva tarea» son tareas que añade una intervención.</t>
  </si>
  <si>
    <t xml:space="preserve">Fase</t>
  </si>
  <si>
    <t xml:space="preserve">Caja</t>
  </si>
  <si>
    <t xml:space="preserve">Nº intervenciones</t>
  </si>
  <si>
    <t xml:space="preserve">Intervenciones y qué le pasa</t>
  </si>
  <si>
    <t xml:space="preserve">Demanda y previsión</t>
  </si>
  <si>
    <t xml:space="preserve">Pedido intercompany del próximo ciclo</t>
  </si>
  <si>
    <t xml:space="preserve">Encajar la urgencia según la prioridad de Ondupack</t>
  </si>
  <si>
    <t xml:space="preserve">Pedido de cliente externo</t>
  </si>
  <si>
    <t xml:space="preserve">Revisar capacidad para la fecha pedida</t>
  </si>
  <si>
    <t xml:space="preserve">Propuesta de fecha con la capacidad libre del ciclo (Automatización) → La hace el sistema
Copiloto de plazos para Comercial (Consulta) → Se simplifica</t>
  </si>
  <si>
    <t xml:space="preserve">S&amp;OP y Plan Maestro</t>
  </si>
  <si>
    <t xml:space="preserve">Ciclo de producción de las 4 calidades</t>
  </si>
  <si>
    <t xml:space="preserve">Previsión del ciclo cargada en GIO (Automatización) → Se simplifica
Agente de escenarios de ciclo (Agente) → Se simplifica</t>
  </si>
  <si>
    <t xml:space="preserve">Duración por calidad (temporales)</t>
  </si>
  <si>
    <t xml:space="preserve">Propuesta de duración de los ciclos por calidad (Automatización) → La hace el sistema</t>
  </si>
  <si>
    <t xml:space="preserve">Carga a capacidad infinita · 3 turnos a velocidad máxima</t>
  </si>
  <si>
    <t xml:space="preserve">Carga a capacidad finita por ciclo (Automatización) → Se simplifica</t>
  </si>
  <si>
    <t xml:space="preserve">¿Pedidos sin capacidad para su fecha?</t>
  </si>
  <si>
    <t xml:space="preserve">Carga a capacidad finita por ciclo (Automatización) → La hace el sistema</t>
  </si>
  <si>
    <t xml:space="preserve">Revisar con Comercial y avisar al cliente</t>
  </si>
  <si>
    <t xml:space="preserve">Necesidades y Aprovisionamiento</t>
  </si>
  <si>
    <t xml:space="preserve">Propuesta de fabricación de PT por pedido</t>
  </si>
  <si>
    <t xml:space="preserve">Reposición automática por mínimo y máximo (Automatización) → Se simplifica</t>
  </si>
  <si>
    <t xml:space="preserve">Bobina madre por gramaje y calidad</t>
  </si>
  <si>
    <t xml:space="preserve">MRP de auxiliares en SAP</t>
  </si>
  <si>
    <t xml:space="preserve">MRP de materias primas en Excel</t>
  </si>
  <si>
    <t xml:space="preserve">MRP de materias primas en SAP (Automatización) → La hace el sistema</t>
  </si>
  <si>
    <t xml:space="preserve">Solicitud de compra y pedido</t>
  </si>
  <si>
    <t xml:space="preserve">Agente de compras de materiales (Agente) → Se simplifica</t>
  </si>
  <si>
    <t xml:space="preserve">Programación</t>
  </si>
  <si>
    <t xml:space="preserve">Algoritmo de combinación por ciclos</t>
  </si>
  <si>
    <t xml:space="preserve">Cierre de SIGPA (algoritmo de combinación) (Automatización) → Se simplifica
Algoritmo con lo ya fabricado y fecha límite de cartera (Automatización) → Se simplifica</t>
  </si>
  <si>
    <t xml:space="preserve">Agrupar por calidad y ancho</t>
  </si>
  <si>
    <t xml:space="preserve">Algoritmo con lo ya fabricado y fecha límite de cartera (Automatización) → Desaparece</t>
  </si>
  <si>
    <t xml:space="preserve">¿Entra una urgencia?</t>
  </si>
  <si>
    <t xml:space="preserve">Encajar la urgencia a mano</t>
  </si>
  <si>
    <t xml:space="preserve">Alertas de planificación (Automatización) → Se simplifica
Agente de urgencias (Agente) → Se simplifica</t>
  </si>
  <si>
    <t xml:space="preserve">Liberación</t>
  </si>
  <si>
    <t xml:space="preserve">Comprobar a mano que hay material</t>
  </si>
  <si>
    <t xml:space="preserve">Disponibilidad de material por orden (Automatización) → La hace el sistema</t>
  </si>
  <si>
    <t xml:space="preserve">¿Material disponible?</t>
  </si>
  <si>
    <t xml:space="preserve">Liberar e imprimir la orden</t>
  </si>
  <si>
    <t xml:space="preserve">Orden digital a producción (Automatización) → Se simplifica</t>
  </si>
  <si>
    <t xml:space="preserve">Seguir la llegada del material</t>
  </si>
  <si>
    <t xml:space="preserve">Disponibilidad de material por orden (Automatización) → Se simplifica</t>
  </si>
  <si>
    <t xml:space="preserve">Seguimiento y Control</t>
  </si>
  <si>
    <t xml:space="preserve">Revisar incidencias por llamada</t>
  </si>
  <si>
    <t xml:space="preserve">Cuadro de mando de servicio (Automatización) → La hace el sistema</t>
  </si>
  <si>
    <t xml:space="preserve">Enviar el stock a Ondupack cada día</t>
  </si>
  <si>
    <t xml:space="preserve">Visibilidad de stock y cargas para Ondupack (Automatización) → Desaparece</t>
  </si>
  <si>
    <t xml:space="preserve">Ondupack decide qué se carga al día siguiente</t>
  </si>
  <si>
    <t xml:space="preserve">Visibilidad de stock y cargas para Ondupack (Automatización) → Se simplifica
Agente de coordinación de cargas con Ondupack (Agente) → Se simplifica</t>
  </si>
  <si>
    <t xml:space="preserve">Cierre manual del pedido</t>
  </si>
  <si>
    <t xml:space="preserve">Demanda y previsión (nueva)</t>
  </si>
  <si>
    <t xml:space="preserve">Previsión del próximo ciclo</t>
  </si>
  <si>
    <t xml:space="preserve">Previsión del ciclo cargada en GIO (Automatización) → Nueva tarea
Agente de previsión por calidad y ancho (Agente) → Se simplifica</t>
  </si>
  <si>
    <t xml:space="preserve">S&amp;OP y Plan Maestro (nueva)</t>
  </si>
  <si>
    <t xml:space="preserve">Revisión mensual del stock intercompany</t>
  </si>
  <si>
    <t xml:space="preserve">Agente de stock intercompany (Agente) → Nueva tarea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</si>
</sst>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dd/mm/yyyy"/>
    <numFmt numFmtId="167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263A"/>
      <name val="Arial"/>
      <family val="0"/>
      <charset val="1"/>
    </font>
    <font>
      <i val="true"/>
      <sz val="9"/>
      <color rgb="FF5B6B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263A"/>
      <name val="Arial"/>
      <family val="0"/>
      <charset val="1"/>
    </font>
    <font>
      <b val="true"/>
      <sz val="10"/>
      <color rgb="FF00263A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0263A"/>
        <bgColor rgb="FF003300"/>
      </patternFill>
    </fill>
    <fill>
      <patternFill patternType="solid">
        <fgColor rgb="FFEEF1F4"/>
        <bgColor rgb="FFE4EEFB"/>
      </patternFill>
    </fill>
    <fill>
      <patternFill patternType="solid">
        <fgColor rgb="FFE3F3EA"/>
        <bgColor rgb="FFE4EEFB"/>
      </patternFill>
    </fill>
    <fill>
      <patternFill patternType="solid">
        <fgColor rgb="FFEEE9FB"/>
        <bgColor rgb="FFEEF1F4"/>
      </patternFill>
    </fill>
    <fill>
      <patternFill patternType="solid">
        <fgColor rgb="FFE4EEFB"/>
        <bgColor rgb="FFEEF1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7DFE5"/>
      </left>
      <right style="thin">
        <color rgb="FFD7DFE5"/>
      </right>
      <top style="thin">
        <color rgb="FFD7DFE5"/>
      </top>
      <bottom style="thin">
        <color rgb="FFD7DF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0026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3F3EA"/>
          <bgColor rgb="FF000000"/>
        </patternFill>
      </fill>
    </dxf>
    <dxf>
      <fill>
        <patternFill patternType="solid">
          <fgColor rgb="FFE4EEFB"/>
          <bgColor rgb="FF000000"/>
        </patternFill>
      </fill>
    </dxf>
    <dxf>
      <fill>
        <patternFill patternType="solid">
          <fgColor rgb="FFEEE9FB"/>
          <bgColor rgb="FF000000"/>
        </patternFill>
      </fill>
    </dxf>
    <dxf>
      <fill>
        <patternFill patternType="solid">
          <fgColor rgb="FFEEF1F4"/>
          <bgColor rgb="FF000000"/>
        </patternFill>
      </fill>
    </dxf>
    <dxf>
      <font>
        <name val="Arial"/>
        <charset val="1"/>
        <family val="0"/>
        <color rgb="FF9AA5B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1F4"/>
      <rgbColor rgb="FFE3F3EA"/>
      <rgbColor rgb="FF660066"/>
      <rgbColor rgb="FFFF8080"/>
      <rgbColor rgb="FF0066CC"/>
      <rgbColor rgb="FFD7DF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EEFB"/>
      <rgbColor rgb="FFEEE9F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78"/>
      <rgbColor rgb="FF9AA5B0"/>
      <rgbColor rgb="FF0026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F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5"/>
    <col collapsed="false" customWidth="true" hidden="false" outlineLevel="0" max="5" min="5" style="0" width="30"/>
    <col collapsed="false" customWidth="true" hidden="false" outlineLevel="0" max="6" min="6" style="0" width="56"/>
    <col collapsed="false" customWidth="true" hidden="false" outlineLevel="0" max="7" min="7" style="0" width="10"/>
    <col collapsed="false" customWidth="true" hidden="false" outlineLevel="0" max="8" min="8" style="0" width="40"/>
    <col collapsed="false" customWidth="true" hidden="false" outlineLevel="0" max="9" min="9" style="0" width="46"/>
    <col collapsed="false" customWidth="true" hidden="false" outlineLevel="0" max="11" min="10" style="0" width="11"/>
    <col collapsed="false" customWidth="true" hidden="false" outlineLevel="0" max="12" min="12" style="0" width="36"/>
    <col collapsed="false" customWidth="true" hidden="false" outlineLevel="0" max="13" min="13" style="0" width="40"/>
    <col collapsed="false" customWidth="true" hidden="false" outlineLevel="0" max="15" min="14" style="0" width="12"/>
    <col collapsed="false" customWidth="true" hidden="false" outlineLevel="0" max="16" min="16" style="0" width="10"/>
    <col collapsed="false" customWidth="true" hidden="false" outlineLevel="0" max="17" min="17" style="0" width="34"/>
    <col collapsed="false" customWidth="true" hidden="false" outlineLevel="0" max="18" min="18" style="0" width="30"/>
    <col collapsed="false" customWidth="true" hidden="false" outlineLevel="0" max="19" min="19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5.0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</row>
    <row r="5" customFormat="false" ht="35.05" hidden="false" customHeight="false" outlineLevel="0" collapsed="false">
      <c r="A5" s="4" t="s">
        <v>21</v>
      </c>
      <c r="B5" s="5" t="s">
        <v>22</v>
      </c>
      <c r="C5" s="5" t="s">
        <v>23</v>
      </c>
      <c r="D5" s="6" t="s">
        <v>24</v>
      </c>
      <c r="E5" s="5" t="s">
        <v>25</v>
      </c>
      <c r="F5" s="5" t="s">
        <v>26</v>
      </c>
      <c r="G5" s="4" t="s">
        <v>27</v>
      </c>
      <c r="H5" s="5"/>
      <c r="I5" s="5"/>
      <c r="J5" s="7"/>
      <c r="K5" s="7"/>
      <c r="L5" s="5" t="s">
        <v>28</v>
      </c>
      <c r="M5" s="5" t="s">
        <v>29</v>
      </c>
      <c r="N5" s="8" t="n">
        <v>46664</v>
      </c>
      <c r="O5" s="8" t="n">
        <v>46738</v>
      </c>
      <c r="P5" s="4" t="s">
        <v>30</v>
      </c>
      <c r="Q5" s="5"/>
      <c r="R5" s="5" t="s">
        <v>31</v>
      </c>
      <c r="S5" s="5" t="s">
        <v>32</v>
      </c>
    </row>
    <row r="6" customFormat="false" ht="23.85" hidden="false" customHeight="false" outlineLevel="0" collapsed="false">
      <c r="A6" s="4" t="s">
        <v>33</v>
      </c>
      <c r="B6" s="5" t="s">
        <v>22</v>
      </c>
      <c r="C6" s="5" t="s">
        <v>23</v>
      </c>
      <c r="D6" s="6" t="s">
        <v>24</v>
      </c>
      <c r="E6" s="5" t="s">
        <v>34</v>
      </c>
      <c r="F6" s="5" t="s">
        <v>35</v>
      </c>
      <c r="G6" s="4" t="s">
        <v>27</v>
      </c>
      <c r="H6" s="5"/>
      <c r="I6" s="5"/>
      <c r="J6" s="7"/>
      <c r="K6" s="7"/>
      <c r="L6" s="5" t="s">
        <v>36</v>
      </c>
      <c r="M6" s="5" t="s">
        <v>37</v>
      </c>
      <c r="N6" s="8" t="n">
        <v>46693</v>
      </c>
      <c r="O6" s="8" t="n">
        <v>46783</v>
      </c>
      <c r="P6" s="4" t="s">
        <v>30</v>
      </c>
      <c r="Q6" s="5"/>
      <c r="R6" s="5" t="s">
        <v>38</v>
      </c>
      <c r="S6" s="5" t="s">
        <v>39</v>
      </c>
    </row>
    <row r="7" customFormat="false" ht="35.05" hidden="false" customHeight="false" outlineLevel="0" collapsed="false">
      <c r="A7" s="4" t="s">
        <v>40</v>
      </c>
      <c r="B7" s="5" t="s">
        <v>22</v>
      </c>
      <c r="C7" s="5" t="s">
        <v>23</v>
      </c>
      <c r="D7" s="6" t="s">
        <v>24</v>
      </c>
      <c r="E7" s="5" t="s">
        <v>41</v>
      </c>
      <c r="F7" s="5" t="s">
        <v>42</v>
      </c>
      <c r="G7" s="4" t="s">
        <v>27</v>
      </c>
      <c r="H7" s="5"/>
      <c r="I7" s="5"/>
      <c r="J7" s="7"/>
      <c r="K7" s="7"/>
      <c r="L7" s="5" t="s">
        <v>43</v>
      </c>
      <c r="M7" s="5" t="s">
        <v>44</v>
      </c>
      <c r="N7" s="8" t="n">
        <v>46664</v>
      </c>
      <c r="O7" s="8" t="n">
        <v>46721</v>
      </c>
      <c r="P7" s="4" t="s">
        <v>30</v>
      </c>
      <c r="Q7" s="5"/>
      <c r="R7" s="5"/>
      <c r="S7" s="5" t="s">
        <v>45</v>
      </c>
    </row>
    <row r="8" customFormat="false" ht="35.05" hidden="false" customHeight="false" outlineLevel="0" collapsed="false">
      <c r="A8" s="4" t="s">
        <v>46</v>
      </c>
      <c r="B8" s="5" t="s">
        <v>22</v>
      </c>
      <c r="C8" s="5" t="s">
        <v>23</v>
      </c>
      <c r="D8" s="9" t="s">
        <v>47</v>
      </c>
      <c r="E8" s="5" t="s">
        <v>48</v>
      </c>
      <c r="F8" s="5" t="s">
        <v>49</v>
      </c>
      <c r="G8" s="4" t="s">
        <v>50</v>
      </c>
      <c r="H8" s="5" t="s">
        <v>51</v>
      </c>
      <c r="I8" s="5" t="s">
        <v>52</v>
      </c>
      <c r="J8" s="7" t="n">
        <v>1</v>
      </c>
      <c r="K8" s="7" t="n">
        <v>0.1</v>
      </c>
      <c r="L8" s="5" t="s">
        <v>53</v>
      </c>
      <c r="M8" s="5" t="s">
        <v>54</v>
      </c>
      <c r="N8" s="8" t="n">
        <v>46722</v>
      </c>
      <c r="O8" s="8" t="n">
        <v>46808</v>
      </c>
      <c r="P8" s="4" t="s">
        <v>30</v>
      </c>
      <c r="Q8" s="5" t="s">
        <v>55</v>
      </c>
      <c r="R8" s="5"/>
      <c r="S8" s="5" t="s">
        <v>56</v>
      </c>
    </row>
    <row r="9" customFormat="false" ht="23.85" hidden="false" customHeight="false" outlineLevel="0" collapsed="false">
      <c r="A9" s="4" t="s">
        <v>57</v>
      </c>
      <c r="B9" s="5" t="s">
        <v>22</v>
      </c>
      <c r="C9" s="5" t="s">
        <v>23</v>
      </c>
      <c r="D9" s="10" t="s">
        <v>58</v>
      </c>
      <c r="E9" s="5" t="s">
        <v>59</v>
      </c>
      <c r="F9" s="5" t="s">
        <v>60</v>
      </c>
      <c r="G9" s="4" t="s">
        <v>50</v>
      </c>
      <c r="H9" s="5" t="s">
        <v>61</v>
      </c>
      <c r="I9" s="5" t="s">
        <v>62</v>
      </c>
      <c r="J9" s="7" t="n">
        <v>0.8</v>
      </c>
      <c r="K9" s="7" t="n">
        <v>0.2</v>
      </c>
      <c r="L9" s="5" t="s">
        <v>63</v>
      </c>
      <c r="M9" s="5" t="s">
        <v>64</v>
      </c>
      <c r="N9" s="8" t="n">
        <v>46905</v>
      </c>
      <c r="O9" s="8" t="n">
        <v>47109</v>
      </c>
      <c r="P9" s="4" t="s">
        <v>30</v>
      </c>
      <c r="Q9" s="5" t="s">
        <v>65</v>
      </c>
      <c r="R9" s="5"/>
      <c r="S9" s="5" t="s">
        <v>56</v>
      </c>
    </row>
    <row r="10" customFormat="false" ht="46.25" hidden="false" customHeight="false" outlineLevel="0" collapsed="false">
      <c r="A10" s="4" t="s">
        <v>66</v>
      </c>
      <c r="B10" s="5" t="s">
        <v>67</v>
      </c>
      <c r="C10" s="5" t="s">
        <v>68</v>
      </c>
      <c r="D10" s="6" t="s">
        <v>24</v>
      </c>
      <c r="E10" s="5" t="s">
        <v>69</v>
      </c>
      <c r="F10" s="5" t="s">
        <v>70</v>
      </c>
      <c r="G10" s="4" t="s">
        <v>27</v>
      </c>
      <c r="H10" s="5"/>
      <c r="I10" s="5"/>
      <c r="J10" s="7"/>
      <c r="K10" s="7"/>
      <c r="L10" s="5" t="s">
        <v>71</v>
      </c>
      <c r="M10" s="5" t="s">
        <v>72</v>
      </c>
      <c r="N10" s="8" t="n">
        <v>46664</v>
      </c>
      <c r="O10" s="8" t="n">
        <v>46738</v>
      </c>
      <c r="P10" s="4" t="s">
        <v>30</v>
      </c>
      <c r="Q10" s="5"/>
      <c r="R10" s="5" t="s">
        <v>73</v>
      </c>
      <c r="S10" s="5" t="s">
        <v>74</v>
      </c>
    </row>
    <row r="11" customFormat="false" ht="23.85" hidden="false" customHeight="false" outlineLevel="0" collapsed="false">
      <c r="A11" s="4" t="s">
        <v>75</v>
      </c>
      <c r="B11" s="5" t="s">
        <v>67</v>
      </c>
      <c r="C11" s="5" t="s">
        <v>68</v>
      </c>
      <c r="D11" s="6" t="s">
        <v>24</v>
      </c>
      <c r="E11" s="5" t="s">
        <v>76</v>
      </c>
      <c r="F11" s="5" t="s">
        <v>77</v>
      </c>
      <c r="G11" s="4" t="s">
        <v>27</v>
      </c>
      <c r="H11" s="5"/>
      <c r="I11" s="5"/>
      <c r="J11" s="7"/>
      <c r="K11" s="7"/>
      <c r="L11" s="5" t="s">
        <v>78</v>
      </c>
      <c r="M11" s="5" t="s">
        <v>79</v>
      </c>
      <c r="N11" s="8" t="n">
        <v>46693</v>
      </c>
      <c r="O11" s="8" t="n">
        <v>46783</v>
      </c>
      <c r="P11" s="4" t="s">
        <v>30</v>
      </c>
      <c r="Q11" s="5" t="s">
        <v>69</v>
      </c>
      <c r="R11" s="5"/>
      <c r="S11" s="5" t="s">
        <v>74</v>
      </c>
    </row>
    <row r="12" customFormat="false" ht="35.05" hidden="false" customHeight="false" outlineLevel="0" collapsed="false">
      <c r="A12" s="4" t="s">
        <v>80</v>
      </c>
      <c r="B12" s="5" t="s">
        <v>67</v>
      </c>
      <c r="C12" s="5" t="s">
        <v>68</v>
      </c>
      <c r="D12" s="9" t="s">
        <v>47</v>
      </c>
      <c r="E12" s="5" t="s">
        <v>81</v>
      </c>
      <c r="F12" s="5" t="s">
        <v>82</v>
      </c>
      <c r="G12" s="4" t="s">
        <v>50</v>
      </c>
      <c r="H12" s="5" t="s">
        <v>83</v>
      </c>
      <c r="I12" s="5" t="s">
        <v>84</v>
      </c>
      <c r="J12" s="7" t="n">
        <v>1</v>
      </c>
      <c r="K12" s="7" t="n">
        <v>0.15</v>
      </c>
      <c r="L12" s="5" t="s">
        <v>85</v>
      </c>
      <c r="M12" s="5" t="s">
        <v>86</v>
      </c>
      <c r="N12" s="8" t="n">
        <v>46722</v>
      </c>
      <c r="O12" s="8" t="n">
        <v>46843</v>
      </c>
      <c r="P12" s="4" t="s">
        <v>30</v>
      </c>
      <c r="Q12" s="5" t="s">
        <v>69</v>
      </c>
      <c r="R12" s="5"/>
      <c r="S12" s="5" t="s">
        <v>87</v>
      </c>
    </row>
    <row r="13" customFormat="false" ht="23.85" hidden="false" customHeight="false" outlineLevel="0" collapsed="false">
      <c r="A13" s="4" t="s">
        <v>88</v>
      </c>
      <c r="B13" s="5" t="s">
        <v>67</v>
      </c>
      <c r="C13" s="5" t="s">
        <v>68</v>
      </c>
      <c r="D13" s="9" t="s">
        <v>47</v>
      </c>
      <c r="E13" s="5" t="s">
        <v>89</v>
      </c>
      <c r="F13" s="5" t="s">
        <v>90</v>
      </c>
      <c r="G13" s="4" t="s">
        <v>50</v>
      </c>
      <c r="H13" s="5" t="s">
        <v>91</v>
      </c>
      <c r="I13" s="5" t="s">
        <v>92</v>
      </c>
      <c r="J13" s="7" t="n">
        <v>1</v>
      </c>
      <c r="K13" s="7" t="n">
        <v>0.2</v>
      </c>
      <c r="L13" s="5" t="s">
        <v>93</v>
      </c>
      <c r="M13" s="5" t="s">
        <v>94</v>
      </c>
      <c r="N13" s="8" t="n">
        <v>46755</v>
      </c>
      <c r="O13" s="8" t="n">
        <v>46843</v>
      </c>
      <c r="P13" s="4" t="s">
        <v>30</v>
      </c>
      <c r="Q13" s="5" t="s">
        <v>48</v>
      </c>
      <c r="R13" s="5"/>
      <c r="S13" s="5" t="s">
        <v>95</v>
      </c>
    </row>
    <row r="14" customFormat="false" ht="35.05" hidden="false" customHeight="false" outlineLevel="0" collapsed="false">
      <c r="A14" s="4" t="s">
        <v>96</v>
      </c>
      <c r="B14" s="5" t="s">
        <v>67</v>
      </c>
      <c r="C14" s="5" t="s">
        <v>68</v>
      </c>
      <c r="D14" s="10" t="s">
        <v>58</v>
      </c>
      <c r="E14" s="5" t="s">
        <v>97</v>
      </c>
      <c r="F14" s="5" t="s">
        <v>98</v>
      </c>
      <c r="G14" s="4" t="s">
        <v>50</v>
      </c>
      <c r="H14" s="5" t="s">
        <v>99</v>
      </c>
      <c r="I14" s="5" t="s">
        <v>100</v>
      </c>
      <c r="J14" s="7" t="n">
        <v>0.7</v>
      </c>
      <c r="K14" s="7" t="n">
        <v>0.3</v>
      </c>
      <c r="L14" s="5" t="s">
        <v>101</v>
      </c>
      <c r="M14" s="5" t="s">
        <v>102</v>
      </c>
      <c r="N14" s="8" t="n">
        <v>46905</v>
      </c>
      <c r="O14" s="8" t="n">
        <v>47109</v>
      </c>
      <c r="P14" s="4" t="s">
        <v>30</v>
      </c>
      <c r="Q14" s="5" t="s">
        <v>103</v>
      </c>
      <c r="R14" s="5"/>
      <c r="S14" s="5" t="s">
        <v>87</v>
      </c>
    </row>
    <row r="15" customFormat="false" ht="35.05" hidden="false" customHeight="false" outlineLevel="0" collapsed="false">
      <c r="A15" s="4" t="s">
        <v>104</v>
      </c>
      <c r="B15" s="5" t="s">
        <v>105</v>
      </c>
      <c r="C15" s="5" t="s">
        <v>106</v>
      </c>
      <c r="D15" s="6" t="s">
        <v>24</v>
      </c>
      <c r="E15" s="5" t="s">
        <v>107</v>
      </c>
      <c r="F15" s="5" t="s">
        <v>108</v>
      </c>
      <c r="G15" s="4" t="s">
        <v>27</v>
      </c>
      <c r="H15" s="5"/>
      <c r="I15" s="5"/>
      <c r="J15" s="7"/>
      <c r="K15" s="7"/>
      <c r="L15" s="5" t="s">
        <v>109</v>
      </c>
      <c r="M15" s="5" t="s">
        <v>110</v>
      </c>
      <c r="N15" s="8" t="n">
        <v>46664</v>
      </c>
      <c r="O15" s="8" t="n">
        <v>46738</v>
      </c>
      <c r="P15" s="4" t="s">
        <v>30</v>
      </c>
      <c r="Q15" s="5"/>
      <c r="R15" s="5" t="s">
        <v>111</v>
      </c>
      <c r="S15" s="5" t="s">
        <v>112</v>
      </c>
    </row>
    <row r="16" customFormat="false" ht="23.85" hidden="false" customHeight="false" outlineLevel="0" collapsed="false">
      <c r="A16" s="4" t="s">
        <v>113</v>
      </c>
      <c r="B16" s="5" t="s">
        <v>105</v>
      </c>
      <c r="C16" s="5" t="s">
        <v>106</v>
      </c>
      <c r="D16" s="6" t="s">
        <v>24</v>
      </c>
      <c r="E16" s="5" t="s">
        <v>114</v>
      </c>
      <c r="F16" s="5" t="s">
        <v>115</v>
      </c>
      <c r="G16" s="4" t="s">
        <v>27</v>
      </c>
      <c r="H16" s="5"/>
      <c r="I16" s="5"/>
      <c r="J16" s="7"/>
      <c r="K16" s="7"/>
      <c r="L16" s="5" t="s">
        <v>116</v>
      </c>
      <c r="M16" s="5" t="s">
        <v>117</v>
      </c>
      <c r="N16" s="8" t="n">
        <v>46664</v>
      </c>
      <c r="O16" s="8" t="n">
        <v>46721</v>
      </c>
      <c r="P16" s="4" t="s">
        <v>30</v>
      </c>
      <c r="Q16" s="5"/>
      <c r="R16" s="5" t="s">
        <v>118</v>
      </c>
      <c r="S16" s="5" t="s">
        <v>119</v>
      </c>
    </row>
    <row r="17" customFormat="false" ht="23.85" hidden="false" customHeight="false" outlineLevel="0" collapsed="false">
      <c r="A17" s="4" t="s">
        <v>120</v>
      </c>
      <c r="B17" s="5" t="s">
        <v>105</v>
      </c>
      <c r="C17" s="5" t="s">
        <v>106</v>
      </c>
      <c r="D17" s="9" t="s">
        <v>47</v>
      </c>
      <c r="E17" s="5" t="s">
        <v>121</v>
      </c>
      <c r="F17" s="5" t="s">
        <v>122</v>
      </c>
      <c r="G17" s="4" t="s">
        <v>50</v>
      </c>
      <c r="H17" s="5" t="s">
        <v>123</v>
      </c>
      <c r="I17" s="5" t="s">
        <v>124</v>
      </c>
      <c r="J17" s="7" t="n">
        <v>1</v>
      </c>
      <c r="K17" s="7" t="n">
        <v>0.1</v>
      </c>
      <c r="L17" s="5" t="s">
        <v>125</v>
      </c>
      <c r="M17" s="5" t="s">
        <v>126</v>
      </c>
      <c r="N17" s="8" t="n">
        <v>46755</v>
      </c>
      <c r="O17" s="8" t="n">
        <v>46843</v>
      </c>
      <c r="P17" s="4" t="s">
        <v>30</v>
      </c>
      <c r="Q17" s="5" t="s">
        <v>107</v>
      </c>
      <c r="R17" s="5"/>
      <c r="S17" s="5" t="s">
        <v>119</v>
      </c>
    </row>
    <row r="18" customFormat="false" ht="23.85" hidden="false" customHeight="false" outlineLevel="0" collapsed="false">
      <c r="A18" s="4" t="s">
        <v>127</v>
      </c>
      <c r="B18" s="5" t="s">
        <v>105</v>
      </c>
      <c r="C18" s="5" t="s">
        <v>106</v>
      </c>
      <c r="D18" s="10" t="s">
        <v>58</v>
      </c>
      <c r="E18" s="5" t="s">
        <v>128</v>
      </c>
      <c r="F18" s="5" t="s">
        <v>129</v>
      </c>
      <c r="G18" s="4" t="s">
        <v>50</v>
      </c>
      <c r="H18" s="5" t="s">
        <v>130</v>
      </c>
      <c r="I18" s="5" t="s">
        <v>131</v>
      </c>
      <c r="J18" s="7" t="n">
        <v>0.8</v>
      </c>
      <c r="K18" s="7" t="n">
        <v>0.2</v>
      </c>
      <c r="L18" s="5" t="s">
        <v>132</v>
      </c>
      <c r="M18" s="5" t="s">
        <v>133</v>
      </c>
      <c r="N18" s="8" t="n">
        <v>46905</v>
      </c>
      <c r="O18" s="8" t="n">
        <v>47109</v>
      </c>
      <c r="P18" s="4" t="s">
        <v>30</v>
      </c>
      <c r="Q18" s="5" t="s">
        <v>121</v>
      </c>
      <c r="R18" s="5"/>
      <c r="S18" s="5" t="s">
        <v>119</v>
      </c>
    </row>
    <row r="19" customFormat="false" ht="35.05" hidden="false" customHeight="false" outlineLevel="0" collapsed="false">
      <c r="A19" s="4" t="s">
        <v>134</v>
      </c>
      <c r="B19" s="5" t="s">
        <v>135</v>
      </c>
      <c r="C19" s="5" t="s">
        <v>136</v>
      </c>
      <c r="D19" s="6" t="s">
        <v>24</v>
      </c>
      <c r="E19" s="5" t="s">
        <v>137</v>
      </c>
      <c r="F19" s="5" t="s">
        <v>138</v>
      </c>
      <c r="G19" s="4" t="s">
        <v>27</v>
      </c>
      <c r="H19" s="5"/>
      <c r="I19" s="5"/>
      <c r="J19" s="7"/>
      <c r="K19" s="7"/>
      <c r="L19" s="5" t="s">
        <v>139</v>
      </c>
      <c r="M19" s="5" t="s">
        <v>140</v>
      </c>
      <c r="N19" s="8" t="n">
        <v>46664</v>
      </c>
      <c r="O19" s="8" t="n">
        <v>46721</v>
      </c>
      <c r="P19" s="4" t="s">
        <v>30</v>
      </c>
      <c r="Q19" s="5"/>
      <c r="R19" s="5" t="s">
        <v>141</v>
      </c>
      <c r="S19" s="5" t="s">
        <v>142</v>
      </c>
    </row>
    <row r="20" customFormat="false" ht="35.05" hidden="false" customHeight="false" outlineLevel="0" collapsed="false">
      <c r="A20" s="4" t="s">
        <v>143</v>
      </c>
      <c r="B20" s="5" t="s">
        <v>135</v>
      </c>
      <c r="C20" s="5" t="s">
        <v>136</v>
      </c>
      <c r="D20" s="9" t="s">
        <v>47</v>
      </c>
      <c r="E20" s="5" t="s">
        <v>144</v>
      </c>
      <c r="F20" s="5" t="s">
        <v>145</v>
      </c>
      <c r="G20" s="4" t="s">
        <v>50</v>
      </c>
      <c r="H20" s="5" t="s">
        <v>146</v>
      </c>
      <c r="I20" s="5" t="s">
        <v>147</v>
      </c>
      <c r="J20" s="7" t="n">
        <v>0.85</v>
      </c>
      <c r="K20" s="7" t="n">
        <v>0.15</v>
      </c>
      <c r="L20" s="5" t="s">
        <v>148</v>
      </c>
      <c r="M20" s="5" t="s">
        <v>149</v>
      </c>
      <c r="N20" s="8" t="n">
        <v>46784</v>
      </c>
      <c r="O20" s="8" t="n">
        <v>46904</v>
      </c>
      <c r="P20" s="4" t="s">
        <v>30</v>
      </c>
      <c r="Q20" s="5" t="s">
        <v>81</v>
      </c>
      <c r="R20" s="5"/>
      <c r="S20" s="5" t="s">
        <v>150</v>
      </c>
    </row>
    <row r="21" customFormat="false" ht="23.85" hidden="false" customHeight="false" outlineLevel="0" collapsed="false">
      <c r="A21" s="4" t="s">
        <v>151</v>
      </c>
      <c r="B21" s="5" t="s">
        <v>135</v>
      </c>
      <c r="C21" s="5" t="s">
        <v>136</v>
      </c>
      <c r="D21" s="11" t="s">
        <v>152</v>
      </c>
      <c r="E21" s="5" t="s">
        <v>153</v>
      </c>
      <c r="F21" s="5" t="s">
        <v>154</v>
      </c>
      <c r="G21" s="4" t="s">
        <v>50</v>
      </c>
      <c r="H21" s="5" t="s">
        <v>155</v>
      </c>
      <c r="I21" s="5" t="s">
        <v>156</v>
      </c>
      <c r="J21" s="7" t="n">
        <v>0.8</v>
      </c>
      <c r="K21" s="7" t="n">
        <v>0.2</v>
      </c>
      <c r="L21" s="5" t="s">
        <v>157</v>
      </c>
      <c r="M21" s="5" t="s">
        <v>158</v>
      </c>
      <c r="N21" s="8" t="n">
        <v>46905</v>
      </c>
      <c r="O21" s="8" t="n">
        <v>47025</v>
      </c>
      <c r="P21" s="4" t="s">
        <v>30</v>
      </c>
      <c r="Q21" s="5" t="s">
        <v>144</v>
      </c>
      <c r="R21" s="5"/>
      <c r="S21" s="5" t="s">
        <v>159</v>
      </c>
    </row>
    <row r="22" customFormat="false" ht="23.85" hidden="false" customHeight="false" outlineLevel="0" collapsed="false">
      <c r="A22" s="4" t="s">
        <v>160</v>
      </c>
      <c r="B22" s="5" t="s">
        <v>161</v>
      </c>
      <c r="C22" s="5" t="s">
        <v>162</v>
      </c>
      <c r="D22" s="6" t="s">
        <v>24</v>
      </c>
      <c r="E22" s="5" t="s">
        <v>163</v>
      </c>
      <c r="F22" s="5" t="s">
        <v>164</v>
      </c>
      <c r="G22" s="4" t="s">
        <v>27</v>
      </c>
      <c r="H22" s="5"/>
      <c r="I22" s="5"/>
      <c r="J22" s="7"/>
      <c r="K22" s="7"/>
      <c r="L22" s="5" t="s">
        <v>165</v>
      </c>
      <c r="M22" s="5" t="s">
        <v>166</v>
      </c>
      <c r="N22" s="8" t="n">
        <v>46664</v>
      </c>
      <c r="O22" s="8" t="n">
        <v>46689</v>
      </c>
      <c r="P22" s="4" t="s">
        <v>30</v>
      </c>
      <c r="Q22" s="5"/>
      <c r="R22" s="5" t="s">
        <v>167</v>
      </c>
      <c r="S22" s="5" t="s">
        <v>168</v>
      </c>
    </row>
    <row r="23" customFormat="false" ht="35.05" hidden="false" customHeight="false" outlineLevel="0" collapsed="false">
      <c r="A23" s="4" t="s">
        <v>169</v>
      </c>
      <c r="B23" s="5" t="s">
        <v>161</v>
      </c>
      <c r="C23" s="5" t="s">
        <v>162</v>
      </c>
      <c r="D23" s="6" t="s">
        <v>24</v>
      </c>
      <c r="E23" s="5" t="s">
        <v>170</v>
      </c>
      <c r="F23" s="5" t="s">
        <v>171</v>
      </c>
      <c r="G23" s="4" t="s">
        <v>27</v>
      </c>
      <c r="H23" s="5"/>
      <c r="I23" s="5"/>
      <c r="J23" s="7"/>
      <c r="K23" s="7"/>
      <c r="L23" s="5" t="s">
        <v>172</v>
      </c>
      <c r="M23" s="5" t="s">
        <v>173</v>
      </c>
      <c r="N23" s="8" t="n">
        <v>46664</v>
      </c>
      <c r="O23" s="8" t="n">
        <v>46721</v>
      </c>
      <c r="P23" s="4" t="s">
        <v>30</v>
      </c>
      <c r="Q23" s="5"/>
      <c r="R23" s="5"/>
      <c r="S23" s="5" t="s">
        <v>174</v>
      </c>
    </row>
    <row r="24" customFormat="false" ht="35.05" hidden="false" customHeight="false" outlineLevel="0" collapsed="false">
      <c r="A24" s="4" t="s">
        <v>175</v>
      </c>
      <c r="B24" s="5" t="s">
        <v>161</v>
      </c>
      <c r="C24" s="5" t="s">
        <v>162</v>
      </c>
      <c r="D24" s="9" t="s">
        <v>47</v>
      </c>
      <c r="E24" s="5" t="s">
        <v>176</v>
      </c>
      <c r="F24" s="5" t="s">
        <v>177</v>
      </c>
      <c r="G24" s="4" t="s">
        <v>50</v>
      </c>
      <c r="H24" s="5" t="s">
        <v>178</v>
      </c>
      <c r="I24" s="5" t="s">
        <v>179</v>
      </c>
      <c r="J24" s="7" t="n">
        <v>0.95</v>
      </c>
      <c r="K24" s="7" t="n">
        <v>0.05</v>
      </c>
      <c r="L24" s="5" t="s">
        <v>180</v>
      </c>
      <c r="M24" s="5" t="s">
        <v>181</v>
      </c>
      <c r="N24" s="8" t="n">
        <v>46722</v>
      </c>
      <c r="O24" s="8" t="n">
        <v>46843</v>
      </c>
      <c r="P24" s="4" t="s">
        <v>30</v>
      </c>
      <c r="Q24" s="5" t="s">
        <v>170</v>
      </c>
      <c r="R24" s="5"/>
      <c r="S24" s="5" t="s">
        <v>182</v>
      </c>
    </row>
    <row r="25" customFormat="false" ht="35.05" hidden="false" customHeight="false" outlineLevel="0" collapsed="false">
      <c r="A25" s="4" t="s">
        <v>183</v>
      </c>
      <c r="B25" s="5" t="s">
        <v>161</v>
      </c>
      <c r="C25" s="5" t="s">
        <v>162</v>
      </c>
      <c r="D25" s="10" t="s">
        <v>58</v>
      </c>
      <c r="E25" s="5" t="s">
        <v>184</v>
      </c>
      <c r="F25" s="5" t="s">
        <v>185</v>
      </c>
      <c r="G25" s="4" t="s">
        <v>50</v>
      </c>
      <c r="H25" s="5" t="s">
        <v>186</v>
      </c>
      <c r="I25" s="5" t="s">
        <v>187</v>
      </c>
      <c r="J25" s="7" t="n">
        <v>0.8</v>
      </c>
      <c r="K25" s="7" t="n">
        <v>0.2</v>
      </c>
      <c r="L25" s="5" t="s">
        <v>188</v>
      </c>
      <c r="M25" s="5" t="s">
        <v>189</v>
      </c>
      <c r="N25" s="8" t="n">
        <v>46905</v>
      </c>
      <c r="O25" s="8" t="n">
        <v>47109</v>
      </c>
      <c r="P25" s="4" t="s">
        <v>30</v>
      </c>
      <c r="Q25" s="5" t="s">
        <v>176</v>
      </c>
      <c r="R25" s="5"/>
      <c r="S25" s="5" t="s">
        <v>190</v>
      </c>
    </row>
    <row r="26" customFormat="false" ht="23.85" hidden="false" customHeight="false" outlineLevel="0" collapsed="false">
      <c r="A26" s="4" t="s">
        <v>191</v>
      </c>
      <c r="B26" s="5" t="s">
        <v>192</v>
      </c>
      <c r="C26" s="5" t="s">
        <v>193</v>
      </c>
      <c r="D26" s="9" t="s">
        <v>47</v>
      </c>
      <c r="E26" s="5" t="s">
        <v>194</v>
      </c>
      <c r="F26" s="5" t="s">
        <v>195</v>
      </c>
      <c r="G26" s="4" t="s">
        <v>50</v>
      </c>
      <c r="H26" s="5" t="s">
        <v>196</v>
      </c>
      <c r="I26" s="5" t="s">
        <v>197</v>
      </c>
      <c r="J26" s="7" t="n">
        <v>0.8</v>
      </c>
      <c r="K26" s="7" t="n">
        <v>0.2</v>
      </c>
      <c r="L26" s="5" t="s">
        <v>198</v>
      </c>
      <c r="M26" s="5" t="s">
        <v>199</v>
      </c>
      <c r="N26" s="8" t="n">
        <v>46398</v>
      </c>
      <c r="O26" s="8" t="n">
        <v>46477</v>
      </c>
      <c r="P26" s="4" t="s">
        <v>30</v>
      </c>
      <c r="Q26" s="5"/>
      <c r="R26" s="5"/>
      <c r="S26" s="5" t="s">
        <v>200</v>
      </c>
    </row>
    <row r="27" customFormat="false" ht="35.05" hidden="false" customHeight="false" outlineLevel="0" collapsed="false">
      <c r="A27" s="4" t="s">
        <v>201</v>
      </c>
      <c r="B27" s="5" t="s">
        <v>192</v>
      </c>
      <c r="C27" s="5" t="s">
        <v>193</v>
      </c>
      <c r="D27" s="9" t="s">
        <v>47</v>
      </c>
      <c r="E27" s="5" t="s">
        <v>202</v>
      </c>
      <c r="F27" s="5" t="s">
        <v>203</v>
      </c>
      <c r="G27" s="4" t="s">
        <v>50</v>
      </c>
      <c r="H27" s="5" t="s">
        <v>204</v>
      </c>
      <c r="I27" s="5" t="s">
        <v>205</v>
      </c>
      <c r="J27" s="7" t="n">
        <v>0.9</v>
      </c>
      <c r="K27" s="7" t="n">
        <v>0.1</v>
      </c>
      <c r="L27" s="5" t="s">
        <v>206</v>
      </c>
      <c r="M27" s="5" t="s">
        <v>207</v>
      </c>
      <c r="N27" s="8" t="n">
        <v>46693</v>
      </c>
      <c r="O27" s="8" t="n">
        <v>46808</v>
      </c>
      <c r="P27" s="4" t="s">
        <v>30</v>
      </c>
      <c r="Q27" s="5" t="s">
        <v>208</v>
      </c>
      <c r="R27" s="5"/>
      <c r="S27" s="5" t="s">
        <v>209</v>
      </c>
    </row>
    <row r="28" customFormat="false" ht="35.05" hidden="false" customHeight="false" outlineLevel="0" collapsed="false">
      <c r="A28" s="4" t="s">
        <v>210</v>
      </c>
      <c r="B28" s="5" t="s">
        <v>192</v>
      </c>
      <c r="C28" s="5" t="s">
        <v>193</v>
      </c>
      <c r="D28" s="6" t="s">
        <v>24</v>
      </c>
      <c r="E28" s="5" t="s">
        <v>211</v>
      </c>
      <c r="F28" s="5" t="s">
        <v>212</v>
      </c>
      <c r="G28" s="4" t="s">
        <v>27</v>
      </c>
      <c r="H28" s="5"/>
      <c r="I28" s="5"/>
      <c r="J28" s="7"/>
      <c r="K28" s="7"/>
      <c r="L28" s="5" t="s">
        <v>213</v>
      </c>
      <c r="M28" s="5" t="s">
        <v>214</v>
      </c>
      <c r="N28" s="8" t="n">
        <v>46664</v>
      </c>
      <c r="O28" s="8" t="n">
        <v>46721</v>
      </c>
      <c r="P28" s="4" t="s">
        <v>30</v>
      </c>
      <c r="Q28" s="5"/>
      <c r="R28" s="5" t="s">
        <v>215</v>
      </c>
      <c r="S28" s="5" t="s">
        <v>216</v>
      </c>
    </row>
    <row r="29" customFormat="false" ht="23.85" hidden="false" customHeight="false" outlineLevel="0" collapsed="false">
      <c r="A29" s="4" t="s">
        <v>217</v>
      </c>
      <c r="B29" s="5" t="s">
        <v>192</v>
      </c>
      <c r="C29" s="5" t="s">
        <v>193</v>
      </c>
      <c r="D29" s="9" t="s">
        <v>47</v>
      </c>
      <c r="E29" s="5" t="s">
        <v>218</v>
      </c>
      <c r="F29" s="5" t="s">
        <v>219</v>
      </c>
      <c r="G29" s="4" t="s">
        <v>50</v>
      </c>
      <c r="H29" s="5" t="s">
        <v>220</v>
      </c>
      <c r="I29" s="5" t="s">
        <v>221</v>
      </c>
      <c r="J29" s="7" t="n">
        <v>1</v>
      </c>
      <c r="K29" s="7" t="n">
        <v>0.2</v>
      </c>
      <c r="L29" s="5" t="s">
        <v>222</v>
      </c>
      <c r="M29" s="5" t="s">
        <v>223</v>
      </c>
      <c r="N29" s="8" t="n">
        <v>46755</v>
      </c>
      <c r="O29" s="8" t="n">
        <v>46843</v>
      </c>
      <c r="P29" s="4" t="s">
        <v>30</v>
      </c>
      <c r="Q29" s="5" t="s">
        <v>211</v>
      </c>
      <c r="R29" s="5"/>
      <c r="S29" s="5" t="s">
        <v>224</v>
      </c>
    </row>
    <row r="30" customFormat="false" ht="35.05" hidden="false" customHeight="false" outlineLevel="0" collapsed="false">
      <c r="A30" s="4" t="s">
        <v>225</v>
      </c>
      <c r="B30" s="5" t="s">
        <v>192</v>
      </c>
      <c r="C30" s="5" t="s">
        <v>193</v>
      </c>
      <c r="D30" s="10" t="s">
        <v>58</v>
      </c>
      <c r="E30" s="5" t="s">
        <v>226</v>
      </c>
      <c r="F30" s="5" t="s">
        <v>227</v>
      </c>
      <c r="G30" s="4" t="s">
        <v>50</v>
      </c>
      <c r="H30" s="5" t="s">
        <v>220</v>
      </c>
      <c r="I30" s="5" t="s">
        <v>228</v>
      </c>
      <c r="J30" s="7" t="n">
        <v>0.75</v>
      </c>
      <c r="K30" s="7" t="n">
        <v>0.25</v>
      </c>
      <c r="L30" s="5" t="s">
        <v>229</v>
      </c>
      <c r="M30" s="5" t="s">
        <v>230</v>
      </c>
      <c r="N30" s="8" t="n">
        <v>46905</v>
      </c>
      <c r="O30" s="8" t="n">
        <v>47109</v>
      </c>
      <c r="P30" s="4" t="s">
        <v>30</v>
      </c>
      <c r="Q30" s="5" t="s">
        <v>218</v>
      </c>
      <c r="R30" s="5"/>
      <c r="S30" s="5" t="s">
        <v>231</v>
      </c>
    </row>
    <row r="31" customFormat="false" ht="23.85" hidden="false" customHeight="false" outlineLevel="0" collapsed="false">
      <c r="A31" s="4" t="s">
        <v>232</v>
      </c>
      <c r="B31" s="5" t="s">
        <v>233</v>
      </c>
      <c r="C31" s="5" t="s">
        <v>234</v>
      </c>
      <c r="D31" s="6" t="s">
        <v>24</v>
      </c>
      <c r="E31" s="5" t="s">
        <v>235</v>
      </c>
      <c r="F31" s="5" t="s">
        <v>236</v>
      </c>
      <c r="G31" s="4" t="s">
        <v>27</v>
      </c>
      <c r="H31" s="5"/>
      <c r="I31" s="5"/>
      <c r="J31" s="7"/>
      <c r="K31" s="7"/>
      <c r="L31" s="5" t="s">
        <v>237</v>
      </c>
      <c r="M31" s="5" t="s">
        <v>238</v>
      </c>
      <c r="N31" s="8" t="n">
        <v>46664</v>
      </c>
      <c r="O31" s="8" t="n">
        <v>46721</v>
      </c>
      <c r="P31" s="4" t="s">
        <v>30</v>
      </c>
      <c r="Q31" s="5"/>
      <c r="R31" s="5"/>
      <c r="S31" s="5" t="s">
        <v>239</v>
      </c>
    </row>
    <row r="32" customFormat="false" ht="35.05" hidden="false" customHeight="false" outlineLevel="0" collapsed="false">
      <c r="A32" s="4" t="s">
        <v>240</v>
      </c>
      <c r="B32" s="5" t="s">
        <v>233</v>
      </c>
      <c r="C32" s="5" t="s">
        <v>234</v>
      </c>
      <c r="D32" s="9" t="s">
        <v>47</v>
      </c>
      <c r="E32" s="5" t="s">
        <v>241</v>
      </c>
      <c r="F32" s="5" t="s">
        <v>242</v>
      </c>
      <c r="G32" s="4" t="s">
        <v>50</v>
      </c>
      <c r="H32" s="5" t="s">
        <v>243</v>
      </c>
      <c r="I32" s="5" t="s">
        <v>244</v>
      </c>
      <c r="J32" s="7" t="n">
        <v>1</v>
      </c>
      <c r="K32" s="7" t="n">
        <v>0.1</v>
      </c>
      <c r="L32" s="5" t="s">
        <v>245</v>
      </c>
      <c r="M32" s="5" t="s">
        <v>246</v>
      </c>
      <c r="N32" s="8" t="n">
        <v>46755</v>
      </c>
      <c r="O32" s="8" t="n">
        <v>46871</v>
      </c>
      <c r="P32" s="4" t="s">
        <v>30</v>
      </c>
      <c r="Q32" s="5" t="s">
        <v>176</v>
      </c>
      <c r="R32" s="5"/>
      <c r="S32" s="5" t="s">
        <v>239</v>
      </c>
    </row>
    <row r="33" customFormat="false" ht="23.85" hidden="false" customHeight="false" outlineLevel="0" collapsed="false">
      <c r="A33" s="4" t="s">
        <v>247</v>
      </c>
      <c r="B33" s="5" t="s">
        <v>233</v>
      </c>
      <c r="C33" s="5" t="s">
        <v>234</v>
      </c>
      <c r="D33" s="9" t="s">
        <v>47</v>
      </c>
      <c r="E33" s="5" t="s">
        <v>248</v>
      </c>
      <c r="F33" s="5" t="s">
        <v>249</v>
      </c>
      <c r="G33" s="4" t="s">
        <v>50</v>
      </c>
      <c r="H33" s="5" t="s">
        <v>250</v>
      </c>
      <c r="I33" s="5" t="s">
        <v>251</v>
      </c>
      <c r="J33" s="7" t="n">
        <v>1</v>
      </c>
      <c r="K33" s="7" t="n">
        <v>0.05</v>
      </c>
      <c r="L33" s="5" t="s">
        <v>252</v>
      </c>
      <c r="M33" s="5" t="s">
        <v>253</v>
      </c>
      <c r="N33" s="8" t="n">
        <v>46722</v>
      </c>
      <c r="O33" s="8" t="n">
        <v>46808</v>
      </c>
      <c r="P33" s="4" t="s">
        <v>30</v>
      </c>
      <c r="Q33" s="5"/>
      <c r="R33" s="5" t="s">
        <v>254</v>
      </c>
      <c r="S33" s="5" t="s">
        <v>239</v>
      </c>
    </row>
    <row r="34" customFormat="false" ht="23.85" hidden="false" customHeight="false" outlineLevel="0" collapsed="false">
      <c r="A34" s="4" t="s">
        <v>255</v>
      </c>
      <c r="B34" s="5" t="s">
        <v>256</v>
      </c>
      <c r="C34" s="5" t="s">
        <v>257</v>
      </c>
      <c r="D34" s="6" t="s">
        <v>24</v>
      </c>
      <c r="E34" s="5" t="s">
        <v>258</v>
      </c>
      <c r="F34" s="5" t="s">
        <v>259</v>
      </c>
      <c r="G34" s="4" t="s">
        <v>27</v>
      </c>
      <c r="H34" s="5"/>
      <c r="I34" s="5"/>
      <c r="J34" s="7"/>
      <c r="K34" s="7"/>
      <c r="L34" s="5" t="s">
        <v>260</v>
      </c>
      <c r="M34" s="5" t="s">
        <v>261</v>
      </c>
      <c r="N34" s="8" t="n">
        <v>46664</v>
      </c>
      <c r="O34" s="8" t="n">
        <v>46721</v>
      </c>
      <c r="P34" s="4" t="s">
        <v>30</v>
      </c>
      <c r="Q34" s="5" t="s">
        <v>262</v>
      </c>
      <c r="R34" s="5"/>
      <c r="S34" s="5" t="s">
        <v>263</v>
      </c>
    </row>
    <row r="35" customFormat="false" ht="23.85" hidden="false" customHeight="false" outlineLevel="0" collapsed="false">
      <c r="A35" s="4" t="s">
        <v>264</v>
      </c>
      <c r="B35" s="5" t="s">
        <v>256</v>
      </c>
      <c r="C35" s="5" t="s">
        <v>257</v>
      </c>
      <c r="D35" s="6" t="s">
        <v>24</v>
      </c>
      <c r="E35" s="5" t="s">
        <v>262</v>
      </c>
      <c r="F35" s="5" t="s">
        <v>265</v>
      </c>
      <c r="G35" s="4" t="s">
        <v>27</v>
      </c>
      <c r="H35" s="5"/>
      <c r="I35" s="5"/>
      <c r="J35" s="7"/>
      <c r="K35" s="7"/>
      <c r="L35" s="5" t="s">
        <v>266</v>
      </c>
      <c r="M35" s="5" t="s">
        <v>267</v>
      </c>
      <c r="N35" s="8" t="n">
        <v>46664</v>
      </c>
      <c r="O35" s="8" t="n">
        <v>46721</v>
      </c>
      <c r="P35" s="4" t="s">
        <v>30</v>
      </c>
      <c r="Q35" s="5" t="s">
        <v>137</v>
      </c>
      <c r="R35" s="5" t="s">
        <v>268</v>
      </c>
      <c r="S35" s="5" t="s">
        <v>224</v>
      </c>
    </row>
    <row r="36" customFormat="false" ht="35.05" hidden="false" customHeight="false" outlineLevel="0" collapsed="false">
      <c r="A36" s="4" t="s">
        <v>269</v>
      </c>
      <c r="B36" s="5" t="s">
        <v>256</v>
      </c>
      <c r="C36" s="5" t="s">
        <v>257</v>
      </c>
      <c r="D36" s="9" t="s">
        <v>47</v>
      </c>
      <c r="E36" s="5" t="s">
        <v>270</v>
      </c>
      <c r="F36" s="5" t="s">
        <v>271</v>
      </c>
      <c r="G36" s="4" t="s">
        <v>50</v>
      </c>
      <c r="H36" s="5" t="s">
        <v>272</v>
      </c>
      <c r="I36" s="5" t="s">
        <v>273</v>
      </c>
      <c r="J36" s="7" t="n">
        <v>1</v>
      </c>
      <c r="K36" s="7" t="n">
        <v>0.1</v>
      </c>
      <c r="L36" s="5" t="s">
        <v>274</v>
      </c>
      <c r="M36" s="5" t="s">
        <v>275</v>
      </c>
      <c r="N36" s="8" t="n">
        <v>46755</v>
      </c>
      <c r="O36" s="8" t="n">
        <v>46843</v>
      </c>
      <c r="P36" s="4" t="s">
        <v>30</v>
      </c>
      <c r="Q36" s="5" t="s">
        <v>107</v>
      </c>
      <c r="R36" s="5"/>
      <c r="S36" s="5" t="s">
        <v>32</v>
      </c>
    </row>
    <row r="37" customFormat="false" ht="23.85" hidden="false" customHeight="false" outlineLevel="0" collapsed="false">
      <c r="A37" s="4" t="s">
        <v>276</v>
      </c>
      <c r="B37" s="5" t="s">
        <v>256</v>
      </c>
      <c r="C37" s="5" t="s">
        <v>257</v>
      </c>
      <c r="D37" s="9" t="s">
        <v>47</v>
      </c>
      <c r="E37" s="5" t="s">
        <v>277</v>
      </c>
      <c r="F37" s="5" t="s">
        <v>278</v>
      </c>
      <c r="G37" s="4" t="s">
        <v>50</v>
      </c>
      <c r="H37" s="5" t="s">
        <v>279</v>
      </c>
      <c r="I37" s="5" t="s">
        <v>280</v>
      </c>
      <c r="J37" s="7" t="n">
        <v>1</v>
      </c>
      <c r="K37" s="7" t="n">
        <v>0.15</v>
      </c>
      <c r="L37" s="5" t="s">
        <v>281</v>
      </c>
      <c r="M37" s="5" t="s">
        <v>282</v>
      </c>
      <c r="N37" s="8" t="n">
        <v>46755</v>
      </c>
      <c r="O37" s="8" t="n">
        <v>46843</v>
      </c>
      <c r="P37" s="4" t="s">
        <v>30</v>
      </c>
      <c r="Q37" s="5" t="s">
        <v>262</v>
      </c>
      <c r="R37" s="5"/>
      <c r="S37" s="5" t="s">
        <v>224</v>
      </c>
    </row>
    <row r="38" customFormat="false" ht="23.85" hidden="false" customHeight="false" outlineLevel="0" collapsed="false">
      <c r="A38" s="4" t="s">
        <v>283</v>
      </c>
      <c r="B38" s="5" t="s">
        <v>256</v>
      </c>
      <c r="C38" s="5" t="s">
        <v>257</v>
      </c>
      <c r="D38" s="10" t="s">
        <v>58</v>
      </c>
      <c r="E38" s="5" t="s">
        <v>284</v>
      </c>
      <c r="F38" s="5" t="s">
        <v>285</v>
      </c>
      <c r="G38" s="4" t="s">
        <v>50</v>
      </c>
      <c r="H38" s="5" t="s">
        <v>286</v>
      </c>
      <c r="I38" s="5" t="s">
        <v>287</v>
      </c>
      <c r="J38" s="7" t="n">
        <v>0.8</v>
      </c>
      <c r="K38" s="7" t="n">
        <v>0.2</v>
      </c>
      <c r="L38" s="5" t="s">
        <v>288</v>
      </c>
      <c r="M38" s="5" t="s">
        <v>289</v>
      </c>
      <c r="N38" s="8" t="n">
        <v>46905</v>
      </c>
      <c r="O38" s="8" t="n">
        <v>47109</v>
      </c>
      <c r="P38" s="4" t="s">
        <v>30</v>
      </c>
      <c r="Q38" s="5" t="s">
        <v>270</v>
      </c>
      <c r="R38" s="5"/>
      <c r="S38" s="5" t="s">
        <v>32</v>
      </c>
    </row>
  </sheetData>
  <autoFilter ref="A4:S3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8" min="7" style="0" width="10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17.35" hidden="false" customHeight="false" outlineLevel="0" collapsed="false">
      <c r="A1" s="1" t="s">
        <v>290</v>
      </c>
    </row>
    <row r="2" customFormat="false" ht="15" hidden="false" customHeight="false" outlineLevel="0" collapsed="false">
      <c r="A2" s="2" t="s">
        <v>291</v>
      </c>
    </row>
    <row r="4" customFormat="false" ht="15" hidden="false" customHeight="false" outlineLevel="0" collapsed="false">
      <c r="A4" s="3" t="s">
        <v>292</v>
      </c>
      <c r="B4" s="3" t="s">
        <v>6</v>
      </c>
      <c r="C4" s="3" t="s">
        <v>293</v>
      </c>
      <c r="D4" s="3" t="s">
        <v>294</v>
      </c>
      <c r="E4" s="3" t="s">
        <v>24</v>
      </c>
      <c r="F4" s="3" t="s">
        <v>47</v>
      </c>
      <c r="G4" s="3" t="s">
        <v>58</v>
      </c>
      <c r="H4" s="3" t="s">
        <v>152</v>
      </c>
      <c r="I4" s="3" t="s">
        <v>15</v>
      </c>
      <c r="J4" s="3" t="s">
        <v>295</v>
      </c>
    </row>
    <row r="5" customFormat="false" ht="15" hidden="false" customHeight="false" outlineLevel="0" collapsed="false">
      <c r="A5" s="4" t="s">
        <v>296</v>
      </c>
      <c r="B5" s="5" t="s">
        <v>297</v>
      </c>
      <c r="C5" s="5" t="s">
        <v>23</v>
      </c>
      <c r="D5" s="4" t="n">
        <f aca="false">COUNTIF(Intervenciones!$B$5:$B$38,"P2R-01 · Gestión de la demanda")</f>
        <v>5</v>
      </c>
      <c r="E5" s="4" t="n">
        <f aca="false">COUNTIFS(Intervenciones!$B$5:$B$38,"P2R-01 · Gestión de la demanda",Intervenciones!$D$5:$D$38,"Negocio")</f>
        <v>3</v>
      </c>
      <c r="F5" s="4" t="n">
        <f aca="false">COUNTIFS(Intervenciones!$B$5:$B$38,"P2R-01 · Gestión de la demanda",Intervenciones!$D$5:$D$38,"Automatización")</f>
        <v>1</v>
      </c>
      <c r="G5" s="4" t="n">
        <f aca="false">COUNTIFS(Intervenciones!$B$5:$B$38,"P2R-01 · Gestión de la demanda",Intervenciones!$D$5:$D$38,"Agente")</f>
        <v>1</v>
      </c>
      <c r="H5" s="4" t="n">
        <f aca="false">COUNTIFS(Intervenciones!$B$5:$B$38,"P2R-01 · Gestión de la demanda",Intervenciones!$D$5:$D$38,"Consulta")</f>
        <v>0</v>
      </c>
      <c r="I5" s="8" t="n">
        <f aca="false">_xlfn.MINIFS(Intervenciones!$N$5:$N$38,Intervenciones!$B$5:$B$38,"P2R-01 · Gestión de la demanda")</f>
        <v>46664</v>
      </c>
      <c r="J5" s="8" t="n">
        <f aca="false">_xlfn.MAXIFS(Intervenciones!$O$5:$O$38,Intervenciones!$B$5:$B$38,"P2R-01 · Gestión de la demanda")</f>
        <v>47109</v>
      </c>
    </row>
    <row r="6" customFormat="false" ht="15" hidden="false" customHeight="false" outlineLevel="0" collapsed="false">
      <c r="A6" s="4" t="s">
        <v>298</v>
      </c>
      <c r="B6" s="5" t="s">
        <v>299</v>
      </c>
      <c r="C6" s="5" t="s">
        <v>68</v>
      </c>
      <c r="D6" s="4" t="n">
        <f aca="false">COUNTIF(Intervenciones!$B$5:$B$38,"P2R-02 · S&amp;OP y plan de capacidad")</f>
        <v>5</v>
      </c>
      <c r="E6" s="4" t="n">
        <f aca="false">COUNTIFS(Intervenciones!$B$5:$B$38,"P2R-02 · S&amp;OP y plan de capacidad",Intervenciones!$D$5:$D$38,"Negocio")</f>
        <v>2</v>
      </c>
      <c r="F6" s="4" t="n">
        <f aca="false">COUNTIFS(Intervenciones!$B$5:$B$38,"P2R-02 · S&amp;OP y plan de capacidad",Intervenciones!$D$5:$D$38,"Automatización")</f>
        <v>2</v>
      </c>
      <c r="G6" s="4" t="n">
        <f aca="false">COUNTIFS(Intervenciones!$B$5:$B$38,"P2R-02 · S&amp;OP y plan de capacidad",Intervenciones!$D$5:$D$38,"Agente")</f>
        <v>1</v>
      </c>
      <c r="H6" s="4" t="n">
        <f aca="false">COUNTIFS(Intervenciones!$B$5:$B$38,"P2R-02 · S&amp;OP y plan de capacidad",Intervenciones!$D$5:$D$38,"Consulta")</f>
        <v>0</v>
      </c>
      <c r="I6" s="8" t="n">
        <f aca="false">_xlfn.MINIFS(Intervenciones!$N$5:$N$38,Intervenciones!$B$5:$B$38,"P2R-02 · S&amp;OP y plan de capacidad")</f>
        <v>46664</v>
      </c>
      <c r="J6" s="8" t="n">
        <f aca="false">_xlfn.MAXIFS(Intervenciones!$O$5:$O$38,Intervenciones!$B$5:$B$38,"P2R-02 · S&amp;OP y plan de capacidad")</f>
        <v>47109</v>
      </c>
    </row>
    <row r="7" customFormat="false" ht="15" hidden="false" customHeight="false" outlineLevel="0" collapsed="false">
      <c r="A7" s="4" t="s">
        <v>300</v>
      </c>
      <c r="B7" s="5" t="s">
        <v>301</v>
      </c>
      <c r="C7" s="5" t="s">
        <v>106</v>
      </c>
      <c r="D7" s="4" t="n">
        <f aca="false">COUNTIF(Intervenciones!$B$5:$B$38,"P2R-03 · Política de inventario por segmento")</f>
        <v>4</v>
      </c>
      <c r="E7" s="4" t="n">
        <f aca="false">COUNTIFS(Intervenciones!$B$5:$B$38,"P2R-03 · Política de inventario por segmento",Intervenciones!$D$5:$D$38,"Negocio")</f>
        <v>2</v>
      </c>
      <c r="F7" s="4" t="n">
        <f aca="false">COUNTIFS(Intervenciones!$B$5:$B$38,"P2R-03 · Política de inventario por segmento",Intervenciones!$D$5:$D$38,"Automatización")</f>
        <v>1</v>
      </c>
      <c r="G7" s="4" t="n">
        <f aca="false">COUNTIFS(Intervenciones!$B$5:$B$38,"P2R-03 · Política de inventario por segmento",Intervenciones!$D$5:$D$38,"Agente")</f>
        <v>1</v>
      </c>
      <c r="H7" s="4" t="n">
        <f aca="false">COUNTIFS(Intervenciones!$B$5:$B$38,"P2R-03 · Política de inventario por segmento",Intervenciones!$D$5:$D$38,"Consulta")</f>
        <v>0</v>
      </c>
      <c r="I7" s="8" t="n">
        <f aca="false">_xlfn.MINIFS(Intervenciones!$N$5:$N$38,Intervenciones!$B$5:$B$38,"P2R-03 · Política de inventario por segmento")</f>
        <v>46664</v>
      </c>
      <c r="J7" s="8" t="n">
        <f aca="false">_xlfn.MAXIFS(Intervenciones!$O$5:$O$38,Intervenciones!$B$5:$B$38,"P2R-03 · Política de inventario por segmento")</f>
        <v>47109</v>
      </c>
    </row>
    <row r="8" customFormat="false" ht="15" hidden="false" customHeight="false" outlineLevel="0" collapsed="false">
      <c r="A8" s="4" t="s">
        <v>302</v>
      </c>
      <c r="B8" s="5" t="s">
        <v>303</v>
      </c>
      <c r="C8" s="5" t="s">
        <v>136</v>
      </c>
      <c r="D8" s="4" t="n">
        <f aca="false">COUNTIF(Intervenciones!$B$5:$B$38,"P2R-04 · Promesa de fecha fiable")</f>
        <v>3</v>
      </c>
      <c r="E8" s="4" t="n">
        <f aca="false">COUNTIFS(Intervenciones!$B$5:$B$38,"P2R-04 · Promesa de fecha fiable",Intervenciones!$D$5:$D$38,"Negocio")</f>
        <v>1</v>
      </c>
      <c r="F8" s="4" t="n">
        <f aca="false">COUNTIFS(Intervenciones!$B$5:$B$38,"P2R-04 · Promesa de fecha fiable",Intervenciones!$D$5:$D$38,"Automatización")</f>
        <v>1</v>
      </c>
      <c r="G8" s="4" t="n">
        <f aca="false">COUNTIFS(Intervenciones!$B$5:$B$38,"P2R-04 · Promesa de fecha fiable",Intervenciones!$D$5:$D$38,"Agente")</f>
        <v>0</v>
      </c>
      <c r="H8" s="4" t="n">
        <f aca="false">COUNTIFS(Intervenciones!$B$5:$B$38,"P2R-04 · Promesa de fecha fiable",Intervenciones!$D$5:$D$38,"Consulta")</f>
        <v>1</v>
      </c>
      <c r="I8" s="8" t="n">
        <f aca="false">_xlfn.MINIFS(Intervenciones!$N$5:$N$38,Intervenciones!$B$5:$B$38,"P2R-04 · Promesa de fecha fiable")</f>
        <v>46664</v>
      </c>
      <c r="J8" s="8" t="n">
        <f aca="false">_xlfn.MAXIFS(Intervenciones!$O$5:$O$38,Intervenciones!$B$5:$B$38,"P2R-04 · Promesa de fecha fiable")</f>
        <v>47025</v>
      </c>
    </row>
    <row r="9" customFormat="false" ht="15" hidden="false" customHeight="false" outlineLevel="0" collapsed="false">
      <c r="A9" s="4" t="s">
        <v>304</v>
      </c>
      <c r="B9" s="5" t="s">
        <v>305</v>
      </c>
      <c r="C9" s="5" t="s">
        <v>162</v>
      </c>
      <c r="D9" s="4" t="n">
        <f aca="false">COUNTIF(Intervenciones!$B$5:$B$38,"P2R-05 · Planificación de materiales por excepción")</f>
        <v>4</v>
      </c>
      <c r="E9" s="4" t="n">
        <f aca="false">COUNTIFS(Intervenciones!$B$5:$B$38,"P2R-05 · Planificación de materiales por excepción",Intervenciones!$D$5:$D$38,"Negocio")</f>
        <v>2</v>
      </c>
      <c r="F9" s="4" t="n">
        <f aca="false">COUNTIFS(Intervenciones!$B$5:$B$38,"P2R-05 · Planificación de materiales por excepción",Intervenciones!$D$5:$D$38,"Automatización")</f>
        <v>1</v>
      </c>
      <c r="G9" s="4" t="n">
        <f aca="false">COUNTIFS(Intervenciones!$B$5:$B$38,"P2R-05 · Planificación de materiales por excepción",Intervenciones!$D$5:$D$38,"Agente")</f>
        <v>1</v>
      </c>
      <c r="H9" s="4" t="n">
        <f aca="false">COUNTIFS(Intervenciones!$B$5:$B$38,"P2R-05 · Planificación de materiales por excepción",Intervenciones!$D$5:$D$38,"Consulta")</f>
        <v>0</v>
      </c>
      <c r="I9" s="8" t="n">
        <f aca="false">_xlfn.MINIFS(Intervenciones!$N$5:$N$38,Intervenciones!$B$5:$B$38,"P2R-05 · Planificación de materiales por excepción")</f>
        <v>46664</v>
      </c>
      <c r="J9" s="8" t="n">
        <f aca="false">_xlfn.MAXIFS(Intervenciones!$O$5:$O$38,Intervenciones!$B$5:$B$38,"P2R-05 · Planificación de materiales por excepción")</f>
        <v>47109</v>
      </c>
    </row>
    <row r="10" customFormat="false" ht="15" hidden="false" customHeight="false" outlineLevel="0" collapsed="false">
      <c r="A10" s="4" t="s">
        <v>306</v>
      </c>
      <c r="B10" s="5" t="s">
        <v>307</v>
      </c>
      <c r="C10" s="5" t="s">
        <v>193</v>
      </c>
      <c r="D10" s="4" t="n">
        <f aca="false">COUNTIF(Intervenciones!$B$5:$B$38,"P2R-06 · Programación estable y optimizada")</f>
        <v>5</v>
      </c>
      <c r="E10" s="4" t="n">
        <f aca="false">COUNTIFS(Intervenciones!$B$5:$B$38,"P2R-06 · Programación estable y optimizada",Intervenciones!$D$5:$D$38,"Negocio")</f>
        <v>1</v>
      </c>
      <c r="F10" s="4" t="n">
        <f aca="false">COUNTIFS(Intervenciones!$B$5:$B$38,"P2R-06 · Programación estable y optimizada",Intervenciones!$D$5:$D$38,"Automatización")</f>
        <v>3</v>
      </c>
      <c r="G10" s="4" t="n">
        <f aca="false">COUNTIFS(Intervenciones!$B$5:$B$38,"P2R-06 · Programación estable y optimizada",Intervenciones!$D$5:$D$38,"Agente")</f>
        <v>1</v>
      </c>
      <c r="H10" s="4" t="n">
        <f aca="false">COUNTIFS(Intervenciones!$B$5:$B$38,"P2R-06 · Programación estable y optimizada",Intervenciones!$D$5:$D$38,"Consulta")</f>
        <v>0</v>
      </c>
      <c r="I10" s="8" t="n">
        <f aca="false">_xlfn.MINIFS(Intervenciones!$N$5:$N$38,Intervenciones!$B$5:$B$38,"P2R-06 · Programación estable y optimizada")</f>
        <v>46398</v>
      </c>
      <c r="J10" s="8" t="n">
        <f aca="false">_xlfn.MAXIFS(Intervenciones!$O$5:$O$38,Intervenciones!$B$5:$B$38,"P2R-06 · Programación estable y optimizada")</f>
        <v>47109</v>
      </c>
    </row>
    <row r="11" customFormat="false" ht="15" hidden="false" customHeight="false" outlineLevel="0" collapsed="false">
      <c r="A11" s="4" t="s">
        <v>308</v>
      </c>
      <c r="B11" s="5" t="s">
        <v>309</v>
      </c>
      <c r="C11" s="5" t="s">
        <v>234</v>
      </c>
      <c r="D11" s="4" t="n">
        <f aca="false">COUNTIF(Intervenciones!$B$5:$B$38,"P2R-07 · Liberación controlada")</f>
        <v>3</v>
      </c>
      <c r="E11" s="4" t="n">
        <f aca="false">COUNTIFS(Intervenciones!$B$5:$B$38,"P2R-07 · Liberación controlada",Intervenciones!$D$5:$D$38,"Negocio")</f>
        <v>1</v>
      </c>
      <c r="F11" s="4" t="n">
        <f aca="false">COUNTIFS(Intervenciones!$B$5:$B$38,"P2R-07 · Liberación controlada",Intervenciones!$D$5:$D$38,"Automatización")</f>
        <v>2</v>
      </c>
      <c r="G11" s="4" t="n">
        <f aca="false">COUNTIFS(Intervenciones!$B$5:$B$38,"P2R-07 · Liberación controlada",Intervenciones!$D$5:$D$38,"Agente")</f>
        <v>0</v>
      </c>
      <c r="H11" s="4" t="n">
        <f aca="false">COUNTIFS(Intervenciones!$B$5:$B$38,"P2R-07 · Liberación controlada",Intervenciones!$D$5:$D$38,"Consulta")</f>
        <v>0</v>
      </c>
      <c r="I11" s="8" t="n">
        <f aca="false">_xlfn.MINIFS(Intervenciones!$N$5:$N$38,Intervenciones!$B$5:$B$38,"P2R-07 · Liberación controlada")</f>
        <v>46664</v>
      </c>
      <c r="J11" s="8" t="n">
        <f aca="false">_xlfn.MAXIFS(Intervenciones!$O$5:$O$38,Intervenciones!$B$5:$B$38,"P2R-07 · Liberación controlada")</f>
        <v>46871</v>
      </c>
    </row>
    <row r="12" customFormat="false" ht="15" hidden="false" customHeight="false" outlineLevel="0" collapsed="false">
      <c r="A12" s="4" t="s">
        <v>310</v>
      </c>
      <c r="B12" s="5" t="s">
        <v>311</v>
      </c>
      <c r="C12" s="5" t="s">
        <v>257</v>
      </c>
      <c r="D12" s="4" t="n">
        <f aca="false">COUNTIF(Intervenciones!$B$5:$B$38,"P2R-08 · Control del servicio y mejora continua")</f>
        <v>5</v>
      </c>
      <c r="E12" s="4" t="n">
        <f aca="false">COUNTIFS(Intervenciones!$B$5:$B$38,"P2R-08 · Control del servicio y mejora continua",Intervenciones!$D$5:$D$38,"Negocio")</f>
        <v>2</v>
      </c>
      <c r="F12" s="4" t="n">
        <f aca="false">COUNTIFS(Intervenciones!$B$5:$B$38,"P2R-08 · Control del servicio y mejora continua",Intervenciones!$D$5:$D$38,"Automatización")</f>
        <v>2</v>
      </c>
      <c r="G12" s="4" t="n">
        <f aca="false">COUNTIFS(Intervenciones!$B$5:$B$38,"P2R-08 · Control del servicio y mejora continua",Intervenciones!$D$5:$D$38,"Agente")</f>
        <v>1</v>
      </c>
      <c r="H12" s="4" t="n">
        <f aca="false">COUNTIFS(Intervenciones!$B$5:$B$38,"P2R-08 · Control del servicio y mejora continua",Intervenciones!$D$5:$D$38,"Consulta")</f>
        <v>0</v>
      </c>
      <c r="I12" s="8" t="n">
        <f aca="false">_xlfn.MINIFS(Intervenciones!$N$5:$N$38,Intervenciones!$B$5:$B$38,"P2R-08 · Control del servicio y mejora continua")</f>
        <v>46664</v>
      </c>
      <c r="J12" s="8" t="n">
        <f aca="false">_xlfn.MAXIFS(Intervenciones!$O$5:$O$38,Intervenciones!$B$5:$B$38,"P2R-08 · Control del servicio y mejora continua")</f>
        <v>47109</v>
      </c>
    </row>
    <row r="13" customFormat="false" ht="15" hidden="false" customHeight="false" outlineLevel="0" collapsed="false">
      <c r="A13" s="12" t="s">
        <v>312</v>
      </c>
      <c r="D13" s="13" t="n">
        <f aca="false">SUM(D5:D12)</f>
        <v>34</v>
      </c>
      <c r="E13" s="13" t="n">
        <f aca="false">SUM(E5:E12)</f>
        <v>14</v>
      </c>
      <c r="F13" s="13" t="n">
        <f aca="false">SUM(F5:F12)</f>
        <v>13</v>
      </c>
      <c r="G13" s="13" t="n">
        <f aca="false">SUM(G5:G12)</f>
        <v>6</v>
      </c>
      <c r="H13" s="13" t="n">
        <f aca="false">SUM(H5:H12)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80"/>
  </cols>
  <sheetData>
    <row r="1" customFormat="false" ht="17.35" hidden="false" customHeight="false" outlineLevel="0" collapsed="false">
      <c r="A1" s="1" t="s">
        <v>313</v>
      </c>
    </row>
    <row r="2" customFormat="false" ht="15" hidden="false" customHeight="false" outlineLevel="0" collapsed="false">
      <c r="A2" s="2" t="s">
        <v>314</v>
      </c>
    </row>
    <row r="4" customFormat="false" ht="15" hidden="false" customHeight="false" outlineLevel="0" collapsed="false">
      <c r="A4" s="3" t="s">
        <v>315</v>
      </c>
      <c r="B4" s="3" t="s">
        <v>316</v>
      </c>
      <c r="C4" s="3" t="s">
        <v>317</v>
      </c>
      <c r="D4" s="3" t="s">
        <v>318</v>
      </c>
    </row>
    <row r="5" customFormat="false" ht="15" hidden="false" customHeight="false" outlineLevel="0" collapsed="false">
      <c r="A5" s="5" t="s">
        <v>319</v>
      </c>
      <c r="B5" s="5" t="s">
        <v>320</v>
      </c>
      <c r="C5" s="14" t="n">
        <f aca="false">SUMPRODUCT(--ISNUMBER(SEARCH(B5&amp;" → ",Intervenciones!$H$5:$H$38)))</f>
        <v>0</v>
      </c>
      <c r="D5" s="5"/>
    </row>
    <row r="6" customFormat="false" ht="15" hidden="false" customHeight="false" outlineLevel="0" collapsed="false">
      <c r="A6" s="5" t="s">
        <v>319</v>
      </c>
      <c r="B6" s="5" t="s">
        <v>321</v>
      </c>
      <c r="C6" s="14" t="n">
        <f aca="false">SUMPRODUCT(--ISNUMBER(SEARCH(B6&amp;" → ",Intervenciones!$H$5:$H$38)))</f>
        <v>0</v>
      </c>
      <c r="D6" s="5"/>
    </row>
    <row r="7" customFormat="false" ht="15" hidden="false" customHeight="false" outlineLevel="0" collapsed="false">
      <c r="A7" s="5" t="s">
        <v>319</v>
      </c>
      <c r="B7" s="5" t="s">
        <v>322</v>
      </c>
      <c r="C7" s="14" t="n">
        <f aca="false">SUMPRODUCT(--ISNUMBER(SEARCH(B7&amp;" → ",Intervenciones!$H$5:$H$38)))</f>
        <v>0</v>
      </c>
      <c r="D7" s="5"/>
    </row>
    <row r="8" customFormat="false" ht="23.85" hidden="false" customHeight="false" outlineLevel="0" collapsed="false">
      <c r="A8" s="5" t="s">
        <v>319</v>
      </c>
      <c r="B8" s="5" t="s">
        <v>323</v>
      </c>
      <c r="C8" s="14" t="n">
        <f aca="false">SUMPRODUCT(--ISNUMBER(SEARCH(B8&amp;" → ",Intervenciones!$H$5:$H$38)))</f>
        <v>2</v>
      </c>
      <c r="D8" s="5" t="s">
        <v>324</v>
      </c>
    </row>
    <row r="9" customFormat="false" ht="23.85" hidden="false" customHeight="false" outlineLevel="0" collapsed="false">
      <c r="A9" s="5" t="s">
        <v>325</v>
      </c>
      <c r="B9" s="5" t="s">
        <v>326</v>
      </c>
      <c r="C9" s="14" t="n">
        <f aca="false">SUMPRODUCT(--ISNUMBER(SEARCH(B9&amp;" → ",Intervenciones!$H$5:$H$38)))</f>
        <v>2</v>
      </c>
      <c r="D9" s="5" t="s">
        <v>327</v>
      </c>
    </row>
    <row r="10" customFormat="false" ht="15" hidden="false" customHeight="false" outlineLevel="0" collapsed="false">
      <c r="A10" s="5" t="s">
        <v>325</v>
      </c>
      <c r="B10" s="5" t="s">
        <v>328</v>
      </c>
      <c r="C10" s="14" t="n">
        <f aca="false">SUMPRODUCT(--ISNUMBER(SEARCH(B10&amp;" → ",Intervenciones!$H$5:$H$38)))</f>
        <v>1</v>
      </c>
      <c r="D10" s="5" t="s">
        <v>329</v>
      </c>
    </row>
    <row r="11" customFormat="false" ht="15" hidden="false" customHeight="false" outlineLevel="0" collapsed="false">
      <c r="A11" s="5" t="s">
        <v>325</v>
      </c>
      <c r="B11" s="5" t="s">
        <v>330</v>
      </c>
      <c r="C11" s="14" t="n">
        <f aca="false">SUMPRODUCT(--ISNUMBER(SEARCH(B11&amp;" → ",Intervenciones!$H$5:$H$38)))</f>
        <v>1</v>
      </c>
      <c r="D11" s="5" t="s">
        <v>331</v>
      </c>
    </row>
    <row r="12" customFormat="false" ht="15" hidden="false" customHeight="false" outlineLevel="0" collapsed="false">
      <c r="A12" s="5" t="s">
        <v>325</v>
      </c>
      <c r="B12" s="5" t="s">
        <v>332</v>
      </c>
      <c r="C12" s="14" t="n">
        <f aca="false">SUMPRODUCT(--ISNUMBER(SEARCH(B12&amp;" → ",Intervenciones!$H$5:$H$38)))</f>
        <v>1</v>
      </c>
      <c r="D12" s="5" t="s">
        <v>333</v>
      </c>
    </row>
    <row r="13" customFormat="false" ht="15" hidden="false" customHeight="false" outlineLevel="0" collapsed="false">
      <c r="A13" s="5" t="s">
        <v>325</v>
      </c>
      <c r="B13" s="5" t="s">
        <v>334</v>
      </c>
      <c r="C13" s="14" t="n">
        <f aca="false">SUMPRODUCT(--ISNUMBER(SEARCH(B13&amp;" → ",Intervenciones!$H$5:$H$38)))</f>
        <v>0</v>
      </c>
      <c r="D13" s="5"/>
    </row>
    <row r="14" customFormat="false" ht="15" hidden="false" customHeight="false" outlineLevel="0" collapsed="false">
      <c r="A14" s="5" t="s">
        <v>335</v>
      </c>
      <c r="B14" s="5" t="s">
        <v>336</v>
      </c>
      <c r="C14" s="14" t="n">
        <f aca="false">SUMPRODUCT(--ISNUMBER(SEARCH(B14&amp;" → ",Intervenciones!$H$5:$H$38)))</f>
        <v>1</v>
      </c>
      <c r="D14" s="5" t="s">
        <v>337</v>
      </c>
    </row>
    <row r="15" customFormat="false" ht="15" hidden="false" customHeight="false" outlineLevel="0" collapsed="false">
      <c r="A15" s="5" t="s">
        <v>335</v>
      </c>
      <c r="B15" s="5" t="s">
        <v>338</v>
      </c>
      <c r="C15" s="14" t="n">
        <f aca="false">SUMPRODUCT(--ISNUMBER(SEARCH(B15&amp;" → ",Intervenciones!$H$5:$H$38)))</f>
        <v>0</v>
      </c>
      <c r="D15" s="5"/>
    </row>
    <row r="16" customFormat="false" ht="15" hidden="false" customHeight="false" outlineLevel="0" collapsed="false">
      <c r="A16" s="5" t="s">
        <v>335</v>
      </c>
      <c r="B16" s="5" t="s">
        <v>339</v>
      </c>
      <c r="C16" s="14" t="n">
        <f aca="false">SUMPRODUCT(--ISNUMBER(SEARCH(B16&amp;" → ",Intervenciones!$H$5:$H$38)))</f>
        <v>0</v>
      </c>
      <c r="D16" s="5"/>
    </row>
    <row r="17" customFormat="false" ht="15" hidden="false" customHeight="false" outlineLevel="0" collapsed="false">
      <c r="A17" s="5" t="s">
        <v>335</v>
      </c>
      <c r="B17" s="5" t="s">
        <v>340</v>
      </c>
      <c r="C17" s="14" t="n">
        <f aca="false">SUMPRODUCT(--ISNUMBER(SEARCH(B17&amp;" → ",Intervenciones!$H$5:$H$38)))</f>
        <v>1</v>
      </c>
      <c r="D17" s="5" t="s">
        <v>341</v>
      </c>
    </row>
    <row r="18" customFormat="false" ht="15" hidden="false" customHeight="false" outlineLevel="0" collapsed="false">
      <c r="A18" s="5" t="s">
        <v>335</v>
      </c>
      <c r="B18" s="5" t="s">
        <v>342</v>
      </c>
      <c r="C18" s="14" t="n">
        <f aca="false">SUMPRODUCT(--ISNUMBER(SEARCH(B18&amp;" → ",Intervenciones!$H$5:$H$38)))</f>
        <v>1</v>
      </c>
      <c r="D18" s="5" t="s">
        <v>343</v>
      </c>
    </row>
    <row r="19" customFormat="false" ht="23.85" hidden="false" customHeight="false" outlineLevel="0" collapsed="false">
      <c r="A19" s="5" t="s">
        <v>344</v>
      </c>
      <c r="B19" s="5" t="s">
        <v>345</v>
      </c>
      <c r="C19" s="14" t="n">
        <f aca="false">SUMPRODUCT(--ISNUMBER(SEARCH(B19&amp;" → ",Intervenciones!$H$5:$H$38)))</f>
        <v>2</v>
      </c>
      <c r="D19" s="5" t="s">
        <v>346</v>
      </c>
    </row>
    <row r="20" customFormat="false" ht="15" hidden="false" customHeight="false" outlineLevel="0" collapsed="false">
      <c r="A20" s="5" t="s">
        <v>344</v>
      </c>
      <c r="B20" s="5" t="s">
        <v>347</v>
      </c>
      <c r="C20" s="14" t="n">
        <f aca="false">SUMPRODUCT(--ISNUMBER(SEARCH(B20&amp;" → ",Intervenciones!$H$5:$H$38)))</f>
        <v>1</v>
      </c>
      <c r="D20" s="5" t="s">
        <v>348</v>
      </c>
    </row>
    <row r="21" customFormat="false" ht="15" hidden="false" customHeight="false" outlineLevel="0" collapsed="false">
      <c r="A21" s="5" t="s">
        <v>344</v>
      </c>
      <c r="B21" s="5" t="s">
        <v>349</v>
      </c>
      <c r="C21" s="14" t="n">
        <f aca="false">SUMPRODUCT(--ISNUMBER(SEARCH(B21&amp;" → ",Intervenciones!$H$5:$H$38)))</f>
        <v>0</v>
      </c>
      <c r="D21" s="5"/>
    </row>
    <row r="22" customFormat="false" ht="23.85" hidden="false" customHeight="false" outlineLevel="0" collapsed="false">
      <c r="A22" s="5" t="s">
        <v>344</v>
      </c>
      <c r="B22" s="5" t="s">
        <v>350</v>
      </c>
      <c r="C22" s="14" t="n">
        <f aca="false">SUMPRODUCT(--ISNUMBER(SEARCH(B22&amp;" → ",Intervenciones!$H$5:$H$38)))</f>
        <v>2</v>
      </c>
      <c r="D22" s="5" t="s">
        <v>351</v>
      </c>
    </row>
    <row r="23" customFormat="false" ht="15" hidden="false" customHeight="false" outlineLevel="0" collapsed="false">
      <c r="A23" s="5" t="s">
        <v>352</v>
      </c>
      <c r="B23" s="5" t="s">
        <v>353</v>
      </c>
      <c r="C23" s="14" t="n">
        <f aca="false">SUMPRODUCT(--ISNUMBER(SEARCH(B23&amp;" → ",Intervenciones!$H$5:$H$38)))</f>
        <v>1</v>
      </c>
      <c r="D23" s="5" t="s">
        <v>354</v>
      </c>
    </row>
    <row r="24" customFormat="false" ht="15" hidden="false" customHeight="false" outlineLevel="0" collapsed="false">
      <c r="A24" s="5" t="s">
        <v>352</v>
      </c>
      <c r="B24" s="5" t="s">
        <v>355</v>
      </c>
      <c r="C24" s="14" t="n">
        <f aca="false">SUMPRODUCT(--ISNUMBER(SEARCH(B24&amp;" → ",Intervenciones!$H$5:$H$38)))</f>
        <v>1</v>
      </c>
      <c r="D24" s="5" t="s">
        <v>354</v>
      </c>
    </row>
    <row r="25" customFormat="false" ht="15" hidden="false" customHeight="false" outlineLevel="0" collapsed="false">
      <c r="A25" s="5" t="s">
        <v>352</v>
      </c>
      <c r="B25" s="5" t="s">
        <v>356</v>
      </c>
      <c r="C25" s="14" t="n">
        <f aca="false">SUMPRODUCT(--ISNUMBER(SEARCH(B25&amp;" → ",Intervenciones!$H$5:$H$38)))</f>
        <v>1</v>
      </c>
      <c r="D25" s="5" t="s">
        <v>357</v>
      </c>
    </row>
    <row r="26" customFormat="false" ht="15" hidden="false" customHeight="false" outlineLevel="0" collapsed="false">
      <c r="A26" s="5" t="s">
        <v>352</v>
      </c>
      <c r="B26" s="5" t="s">
        <v>358</v>
      </c>
      <c r="C26" s="14" t="n">
        <f aca="false">SUMPRODUCT(--ISNUMBER(SEARCH(B26&amp;" → ",Intervenciones!$H$5:$H$38)))</f>
        <v>1</v>
      </c>
      <c r="D26" s="5" t="s">
        <v>359</v>
      </c>
    </row>
    <row r="27" customFormat="false" ht="15" hidden="false" customHeight="false" outlineLevel="0" collapsed="false">
      <c r="A27" s="5" t="s">
        <v>360</v>
      </c>
      <c r="B27" s="5" t="s">
        <v>361</v>
      </c>
      <c r="C27" s="14" t="n">
        <f aca="false">SUMPRODUCT(--ISNUMBER(SEARCH(B27&amp;" → ",Intervenciones!$H$5:$H$38)))</f>
        <v>1</v>
      </c>
      <c r="D27" s="5" t="s">
        <v>362</v>
      </c>
    </row>
    <row r="28" customFormat="false" ht="15" hidden="false" customHeight="false" outlineLevel="0" collapsed="false">
      <c r="A28" s="5" t="s">
        <v>360</v>
      </c>
      <c r="B28" s="5" t="s">
        <v>363</v>
      </c>
      <c r="C28" s="14" t="n">
        <f aca="false">SUMPRODUCT(--ISNUMBER(SEARCH(B28&amp;" → ",Intervenciones!$H$5:$H$38)))</f>
        <v>1</v>
      </c>
      <c r="D28" s="5" t="s">
        <v>364</v>
      </c>
    </row>
    <row r="29" customFormat="false" ht="23.85" hidden="false" customHeight="false" outlineLevel="0" collapsed="false">
      <c r="A29" s="5" t="s">
        <v>360</v>
      </c>
      <c r="B29" s="5" t="s">
        <v>365</v>
      </c>
      <c r="C29" s="14" t="n">
        <f aca="false">SUMPRODUCT(--ISNUMBER(SEARCH(B29&amp;" → ",Intervenciones!$H$5:$H$38)))</f>
        <v>2</v>
      </c>
      <c r="D29" s="5" t="s">
        <v>366</v>
      </c>
    </row>
    <row r="30" customFormat="false" ht="15" hidden="false" customHeight="false" outlineLevel="0" collapsed="false">
      <c r="A30" s="5" t="s">
        <v>360</v>
      </c>
      <c r="B30" s="5" t="s">
        <v>367</v>
      </c>
      <c r="C30" s="14" t="n">
        <f aca="false">SUMPRODUCT(--ISNUMBER(SEARCH(B30&amp;" → ",Intervenciones!$H$5:$H$38)))</f>
        <v>0</v>
      </c>
      <c r="D30" s="5"/>
    </row>
    <row r="31" customFormat="false" ht="23.85" hidden="false" customHeight="false" outlineLevel="0" collapsed="false">
      <c r="A31" s="5" t="s">
        <v>368</v>
      </c>
      <c r="B31" s="5" t="s">
        <v>369</v>
      </c>
      <c r="C31" s="14" t="n">
        <f aca="false">SUMPRODUCT(--ISNUMBER(SEARCH(B31&amp;" → ",Intervenciones!$H$5:$H$38)))</f>
        <v>2</v>
      </c>
      <c r="D31" s="5" t="s">
        <v>370</v>
      </c>
    </row>
    <row r="32" customFormat="false" ht="15" hidden="false" customHeight="false" outlineLevel="0" collapsed="false">
      <c r="A32" s="5" t="s">
        <v>371</v>
      </c>
      <c r="B32" s="5" t="s">
        <v>372</v>
      </c>
      <c r="C32" s="14" t="n">
        <f aca="false">SUMPRODUCT(--ISNUMBER(SEARCH(B32&amp;" → ",Intervenciones!$H$5:$H$38)))</f>
        <v>1</v>
      </c>
      <c r="D32" s="5" t="s">
        <v>373</v>
      </c>
    </row>
  </sheetData>
  <conditionalFormatting sqref="A5:D32">
    <cfRule type="expression" priority="2" aboveAverage="0" equalAverage="0" bottom="0" percent="0" rank="0" text="" dxfId="7">
      <formula>$C5=0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2026-10-28T17:04:05Z</dcterms:created>
  <dc:creator>openpyxl</dc:creator>
  <dc:description/>
  <dc:language>en-US</dc:language>
  <cp:lastModifiedBy/>
  <dcterms:modified xsi:type="dcterms:W3CDTF">2026-10-28T17:04:05Z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