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enciones" sheetId="1" state="visible" r:id="rId3"/>
    <sheet name="Por palanca" sheetId="2" state="visible" r:id="rId4"/>
    <sheet name="Cajas del flujo" sheetId="3" state="visible" r:id="rId5"/>
  </sheets>
  <definedNames>
    <definedName function="false" hidden="true" localSheetId="0" name="_xlnm._FilterDatabase" vbProcedure="false">Intervenciones!$A$4:$S$34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<sst xmlns="http://schemas.openxmlformats.org/spreadsheetml/2006/main" count="507" uniqueCount="323">
  <si>
    <t xml:space="preserve">Intervenciones propuestas · P2R × Ondupet</t>
  </si>
  <si>
    <t xml:space="preserve">Una fila por intervención, con los campos en el orden del formulario «Nueva intervención». Responsable: lo trae la palanca. Confianza: EST. Las fechas siguen el plan de despliegue 2027–2028.</t>
  </si>
  <si>
    <t xml:space="preserve">ID</t>
  </si>
  <si>
    <t xml:space="preserve">Palanca origen</t>
  </si>
  <si>
    <t xml:space="preserve">Hallazgos que cura</t>
  </si>
  <si>
    <t xml:space="preserve">De qué es este trabajo</t>
  </si>
  <si>
    <t xml:space="preserve">Nombre</t>
  </si>
  <si>
    <t xml:space="preserve">Qué hay que hacer</t>
  </si>
  <si>
    <t xml:space="preserve">Cambia tareas del flujo</t>
  </si>
  <si>
    <t xml:space="preserve">Cajas del flujo → qué le pasa</t>
  </si>
  <si>
    <t xml:space="preserve">Qué queremos cambiar (para el comité)</t>
  </si>
  <si>
    <t xml:space="preserve">Cobertura objetivo %</t>
  </si>
  <si>
    <t xml:space="preserve">Excepción humana objetivo %</t>
  </si>
  <si>
    <t xml:space="preserve">Resultado esperado</t>
  </si>
  <si>
    <t xml:space="preserve">Criterio de éxito</t>
  </si>
  <si>
    <t xml:space="preserve">Empieza</t>
  </si>
  <si>
    <t xml:space="preserve">Termina (go-live)</t>
  </si>
  <si>
    <t xml:space="preserve">Confianza</t>
  </si>
  <si>
    <t xml:space="preserve">Depende de</t>
  </si>
  <si>
    <t xml:space="preserve">Lo que falta decidir</t>
  </si>
  <si>
    <t xml:space="preserve">Detalle del maestro</t>
  </si>
  <si>
    <t xml:space="preserve">01.1</t>
  </si>
  <si>
    <t xml:space="preserve">P2R-01 · Gestión de la demanda</t>
  </si>
  <si>
    <t xml:space="preserve">HT-P2R-01, HT-P2R-02</t>
  </si>
  <si>
    <t xml:space="preserve">Negocio</t>
  </si>
  <si>
    <t xml:space="preserve">Calendario de previsión con día de cierre</t>
  </si>
  <si>
    <t xml:space="preserve">Fijar un día de cierre mensual de la previsión y congelar el mes en curso. Después del cierre, cualquier cambio necesita la aprobación de Planificación y queda registrado con su motivo. Publicar el calendario del año.</t>
  </si>
  <si>
    <t xml:space="preserve">No</t>
  </si>
  <si>
    <t xml:space="preserve">La previsión del mes en curso deja de cambiarse sin aviso a mitad de mes.</t>
  </si>
  <si>
    <t xml:space="preserve">Primer cierre en fecha el 31/03/2027 y 0 cambios del mes en curso sin aprobación durante 3 meses seguidos.</t>
  </si>
  <si>
    <t xml:space="preserve">EST</t>
  </si>
  <si>
    <t xml:space="preserve">Día de cierre · quién aprueba las excepciones</t>
  </si>
  <si>
    <t xml:space="preserve">D-PL02</t>
  </si>
  <si>
    <t xml:space="preserve">01.2</t>
  </si>
  <si>
    <t xml:space="preserve">Reunión mensual de consenso de demanda</t>
  </si>
  <si>
    <t xml:space="preserve">Reunión mensual Comercial–Planificación antes del cierre, con orden del día fijo (desviaciones, cambios y riesgos), acta y decisiones. Se acuerda quién responde del stock fabricado por cambios fuera de plazo.</t>
  </si>
  <si>
    <t xml:space="preserve">La previsión que entra al plan está consensuada y cada cambio fuera de plazo tiene un responsable.</t>
  </si>
  <si>
    <t xml:space="preserve">100 % de los meses con reunión y acta antes del cierre.</t>
  </si>
  <si>
    <t xml:space="preserve">Quién responde del stock fabricado por cambios</t>
  </si>
  <si>
    <t xml:space="preserve">D-PL03</t>
  </si>
  <si>
    <t xml:space="preserve">01.3</t>
  </si>
  <si>
    <t xml:space="preserve">Registro diario de agotados y demanda perdida</t>
  </si>
  <si>
    <t xml:space="preserve">Definir qué es un agotado y qué es un pedido rechazado, y registrarlos cada día en el sistema con su motivo, para que el histórico de demanda deje de estar distorsionado.</t>
  </si>
  <si>
    <t xml:space="preserve">El histórico de demanda recoge lo que se dejó de vender.</t>
  </si>
  <si>
    <t xml:space="preserve">≥ 95 % de los agotados registrados con motivo en la auditoría mensual.</t>
  </si>
  <si>
    <t xml:space="preserve">Definición de agotado · quién registra</t>
  </si>
  <si>
    <t xml:space="preserve">D-PL04</t>
  </si>
  <si>
    <t xml:space="preserve">01.4</t>
  </si>
  <si>
    <t xml:space="preserve">Automatización</t>
  </si>
  <si>
    <t xml:space="preserve">Bloqueo del mes en curso y registro de cambios en GIO</t>
  </si>
  <si>
    <t xml:space="preserve">GIO bloquea la previsión del mes en curso tras el cierre. Cuando se aprueba una excepción, guarda quién la cambia, cuándo y por qué.</t>
  </si>
  <si>
    <t xml:space="preserve">Sí</t>
  </si>
  <si>
    <t xml:space="preserve">Introducción Previsiones Sistema → Se simplifica</t>
  </si>
  <si>
    <t xml:space="preserve">La previsión se introduce hasta el día de cierre; después el sistema la bloquea y cada excepción queda trazada.</t>
  </si>
  <si>
    <t xml:space="preserve">Ningún cambio de previsión fuera de plazo pasa sin aprobación ni sin dejar rastro.</t>
  </si>
  <si>
    <t xml:space="preserve">100 % de los cambios posteriores al cierre con aprobación y motivo registrados.</t>
  </si>
  <si>
    <t xml:space="preserve">01.5</t>
  </si>
  <si>
    <t xml:space="preserve">KPI automático de precisión y sesgo por familia</t>
  </si>
  <si>
    <t xml:space="preserve">Calcular cada mes la precisión (1–WMAPE) y el sesgo por familia, con un umbral por segmento. El rombo «¿Buen % de Accuracy?» lo resuelve la regla y solo las familias fuera de umbral pasan a revisión.</t>
  </si>
  <si>
    <t xml:space="preserve">Comprobación de Accuracy Mes en Curso → La hace el sistema
¿Buen % de Accuracy? → La hace el sistema</t>
  </si>
  <si>
    <t xml:space="preserve">La comprobación de accuracy la calcula el sistema y la decisión «¿buen accuracy?» la toma una regla con umbral.</t>
  </si>
  <si>
    <t xml:space="preserve">La revisión de accuracy deja de ser manual y se centra en las familias que fallan.</t>
  </si>
  <si>
    <t xml:space="preserve">KPI publicado el día 2 de cada mes sin trabajo manual; cada familia fuera de umbral con una acción.</t>
  </si>
  <si>
    <t xml:space="preserve">Umbral de precisión por segmento</t>
  </si>
  <si>
    <t xml:space="preserve">D-PL05</t>
  </si>
  <si>
    <t xml:space="preserve">01.6</t>
  </si>
  <si>
    <t xml:space="preserve">Agente</t>
  </si>
  <si>
    <t xml:space="preserve">Agente de análisis de desviaciones</t>
  </si>
  <si>
    <t xml:space="preserve">Cada mes analiza las familias fuera de umbral, explica la causa probable (agotado, pedido puntual, cliente nuevo, cambio de Comercial) y propone la corrección de los meses siguientes. Planificación y Comercial la aprueban en la reunión de consenso.</t>
  </si>
  <si>
    <t xml:space="preserve">Corrección Previsiones Futuros Meses → Se simplifica</t>
  </si>
  <si>
    <t xml:space="preserve">La corrección de previsiones la prepara un agente con su causa; las personas solo la aprueban.</t>
  </si>
  <si>
    <t xml:space="preserve">Toda desviación relevante tiene causa y una corrección propuesta antes de la reunión.</t>
  </si>
  <si>
    <t xml:space="preserve">≥ 80 % de las propuestas aceptadas sin rehacer y sesgo dentro del umbral 3 meses seguidos.</t>
  </si>
  <si>
    <t xml:space="preserve">KPI automático de precisión y sesgo por familia (6 meses de datos)</t>
  </si>
  <si>
    <t xml:space="preserve">D-PL24</t>
  </si>
  <si>
    <t xml:space="preserve">01.7</t>
  </si>
  <si>
    <t xml:space="preserve">Agente de previsión base</t>
  </si>
  <si>
    <t xml:space="preserve">Antes del cierre genera una previsión estadística por familia y material (histórico, estacionalidad y agotados). Comercial deja de cargar la previsión desde cero y solo ajusta las excepciones.</t>
  </si>
  <si>
    <t xml:space="preserve">La previsión la prepara un agente y Comercial revisa solo las excepciones.</t>
  </si>
  <si>
    <t xml:space="preserve">La previsión parte de un modelo y Comercial aporta solo lo que el modelo no sabe.</t>
  </si>
  <si>
    <t xml:space="preserve">Precisión del agente igual o mejor que la de Comercial 3 meses seguidos; ≥ 80 % de referencias sin ajuste manual.</t>
  </si>
  <si>
    <t xml:space="preserve">Registro diario de agotados (12 meses de histórico limpio)</t>
  </si>
  <si>
    <t xml:space="preserve">D-PL01</t>
  </si>
  <si>
    <t xml:space="preserve">02.1</t>
  </si>
  <si>
    <t xml:space="preserve">P2R-02 · S&amp;OP y plan de capacidad</t>
  </si>
  <si>
    <t xml:space="preserve">HT-P2R-03</t>
  </si>
  <si>
    <t xml:space="preserve">Capacidad real de extrusión y termoformado</t>
  </si>
  <si>
    <t xml:space="preserve">Levantar con Producción el calendario de turnos y paradas y validar los tiempos de ciclo por línea de extrusión y termoformado. El dato se mantiene en R2M; aquí se pide y se usa.</t>
  </si>
  <si>
    <t xml:space="preserve">Hay un dato fiable de capacidad para cruzarlo con la carga.</t>
  </si>
  <si>
    <t xml:space="preserve">100 % de las líneas con calendario y tiempos de ciclo validados.</t>
  </si>
  <si>
    <t xml:space="preserve">Quién mantiene el calendario en R2M</t>
  </si>
  <si>
    <t xml:space="preserve">Maestro X03 (R2M)</t>
  </si>
  <si>
    <t xml:space="preserve">02.2</t>
  </si>
  <si>
    <t xml:space="preserve">Revisión mensual de capacidad con dirección de planta</t>
  </si>
  <si>
    <t xml:space="preserve">Tras el cierre de la previsión, Planificación presenta la carga frente a la capacidad y la dirección de planta decide turnos y balanceo con umbrales de ocupación acordados. Es el S&amp;OP de planta mientras llega el de grupo.</t>
  </si>
  <si>
    <t xml:space="preserve">Turnos y balanceo se deciden una vez al mes, con datos y con dirección.</t>
  </si>
  <si>
    <t xml:space="preserve">100 % de los meses con decisión de turnos documentada antes del inicio de mes.</t>
  </si>
  <si>
    <t xml:space="preserve">Umbrales de ocupación para abrir o cerrar turno</t>
  </si>
  <si>
    <t xml:space="preserve">D-PL06</t>
  </si>
  <si>
    <t xml:space="preserve">02.3</t>
  </si>
  <si>
    <t xml:space="preserve">Carga frente a capacidad automática</t>
  </si>
  <si>
    <t xml:space="preserve">Al cerrar la previsión, el sistema cruza previsión × rutas × tiempos de ciclo con el calendario y muestra la ocupación de cada línea de extrusión y termoformado, marcando las que pasan del umbral.</t>
  </si>
  <si>
    <t xml:space="preserve">Plan de Fabricación → Decisión de turnos y balanceo de materiales → Se simplifica</t>
  </si>
  <si>
    <t xml:space="preserve">La decisión de turnos y balanceo se toma sobre un cálculo de carga frente a capacidad, no por intuición.</t>
  </si>
  <si>
    <t xml:space="preserve">Ya no se meten necesidades sin saber si caben.</t>
  </si>
  <si>
    <t xml:space="preserve">Ocupación real dentro de ±10 % de la planificada y 0 turnos no planificados al mes.</t>
  </si>
  <si>
    <t xml:space="preserve">Capacidad real de extrusión y termoformado · Bloqueo del mes en curso</t>
  </si>
  <si>
    <t xml:space="preserve">D-PL07</t>
  </si>
  <si>
    <t xml:space="preserve">02.4</t>
  </si>
  <si>
    <t xml:space="preserve">Temporales automáticos</t>
  </si>
  <si>
    <t xml:space="preserve">La reserva de ciclo por familia se calcula sola en cada cierre a partir de la previsión cerrada y los tiempos de ciclo. Planificación solo revisa los cambios en la reunión de consenso.</t>
  </si>
  <si>
    <t xml:space="preserve">Temporales → Reserva de Ciclo Por Familia → La hace el sistema</t>
  </si>
  <si>
    <t xml:space="preserve">Los temporales los calcula el sistema; es un cálculo fijo, así que basta una regla y no hace falta un agente.</t>
  </si>
  <si>
    <t xml:space="preserve">Los temporales salen el día del cierre sin cálculo manual.</t>
  </si>
  <si>
    <t xml:space="preserve">Temporales publicados el día del cierre 3 meses seguidos sin intervención manual.</t>
  </si>
  <si>
    <t xml:space="preserve">D-PL12</t>
  </si>
  <si>
    <t xml:space="preserve">02.5</t>
  </si>
  <si>
    <t xml:space="preserve">Agente de escenarios de capacidad</t>
  </si>
  <si>
    <t xml:space="preserve">Simula alternativas de turnos, balanceo entre líneas y stock, y propone el plan con su impacto en horas y euros. Planificación lo aprueba y lo lleva a la revisión mensual.</t>
  </si>
  <si>
    <t xml:space="preserve">El plan de turnos y balanceo lo propone un agente con escenarios valorados; Planificación decide.</t>
  </si>
  <si>
    <t xml:space="preserve">Cada mes hay un plan de capacidad propuesto con su coste, listo para decidir.</t>
  </si>
  <si>
    <t xml:space="preserve">≥ 70 % de los planes aprobados sin rehacer; horas extra no planificadas a la baja 3 meses seguidos.</t>
  </si>
  <si>
    <t xml:space="preserve">Carga frente a capacidad automática · migración de GIO a web</t>
  </si>
  <si>
    <t xml:space="preserve">03.1</t>
  </si>
  <si>
    <t xml:space="preserve">P2R-03 · Política de inventario por segmento</t>
  </si>
  <si>
    <t xml:space="preserve">HT-P2R-04, HT-P2R-05</t>
  </si>
  <si>
    <t xml:space="preserve">Criterios de segmentación y estrategia de stock</t>
  </si>
  <si>
    <t xml:space="preserve">Definir ABC por valor, XYZ por variabilidad y la matriz que asigna a cada segmento MTS o MTO y su stock de seguridad. Comercial valida las estrategias.</t>
  </si>
  <si>
    <t xml:space="preserve">Cada material tiene una estrategia y un stock objetivo justificados.</t>
  </si>
  <si>
    <t xml:space="preserve">Matriz aprobada por Planificación y Comercial.</t>
  </si>
  <si>
    <t xml:space="preserve">Cortes de ABC y XYZ · nivel de servicio por segmento</t>
  </si>
  <si>
    <t xml:space="preserve">D-PL09</t>
  </si>
  <si>
    <t xml:space="preserve">03.2</t>
  </si>
  <si>
    <t xml:space="preserve">Responsable del stock sin movimiento</t>
  </si>
  <si>
    <t xml:space="preserve">Revisión mensual con Comercial del producto terminado sin movimiento: se decide venderlo, reprocesarlo o depreciarlo, y se imputa a quien lo originó cuando viene de un cambio de previsión fuera de plazo.</t>
  </si>
  <si>
    <t xml:space="preserve">El stock fabricado y no vendido tiene dueño y decisión.</t>
  </si>
  <si>
    <t xml:space="preserve">100 % del stock sin movimiento &gt; 6 meses con decisión y responsable.</t>
  </si>
  <si>
    <t xml:space="preserve">03.3</t>
  </si>
  <si>
    <t xml:space="preserve">ABC y estrategias recalculados cada trimestre</t>
  </si>
  <si>
    <t xml:space="preserve">Ejecutar la transacción de ABC que ya tiene GIO y programar el recálculo trimestral, avisando de los materiales que cambian de segmento para que Planificación los revise.</t>
  </si>
  <si>
    <t xml:space="preserve">No cambia ninguna caja: actualiza el dato que usan el plan de fabricación y la propuesta.</t>
  </si>
  <si>
    <t xml:space="preserve">El ABC y las estrategias están siempre al día sin trabajo manual.</t>
  </si>
  <si>
    <t xml:space="preserve">Recálculo trimestral sin intervención y 100 % de materiales con segmento vigente.</t>
  </si>
  <si>
    <t xml:space="preserve">03.4</t>
  </si>
  <si>
    <t xml:space="preserve">Agente de stock por segmento</t>
  </si>
  <si>
    <t xml:space="preserve">Cada mes revisa la cobertura de cada segmento, detecta exceso, obsoleto y riesgo de rotura en MTS, y propone la acción: ajustar el stock de seguridad, cambiar la estrategia o liquidar. Planificación aprueba.</t>
  </si>
  <si>
    <t xml:space="preserve">Revisión mensual de stock por segmento → Nueva tarea</t>
  </si>
  <si>
    <t xml:space="preserve">Nueva tarea mensual en S&amp;OP y Plan Maestro: un agente revisa el stock por segmento y propone acciones.</t>
  </si>
  <si>
    <t xml:space="preserve">El stock se corrige antes de que sobre o falte.</t>
  </si>
  <si>
    <t xml:space="preserve">€ de stock fuera de política −20 % en 6 meses y 0 roturas en materiales A-MTS.</t>
  </si>
  <si>
    <t xml:space="preserve">04.1</t>
  </si>
  <si>
    <t xml:space="preserve">P2R-04 · Promesa de fecha fiable</t>
  </si>
  <si>
    <t xml:space="preserve">HT-P2R-05</t>
  </si>
  <si>
    <t xml:space="preserve">Política de fecha confirmada</t>
  </si>
  <si>
    <t xml:space="preserve">Cada pedido lleva fecha solicitada y fecha confirmada. Planificación confirma en un plazo fijo y, si sabe que no se llega, Comercial avisa al cliente con la nueva fecha; el aviso lo ejecuta O2C.</t>
  </si>
  <si>
    <t xml:space="preserve">La fecha que tiene el cliente es una fecha que Planificación puede cumplir.</t>
  </si>
  <si>
    <t xml:space="preserve">≥ 90 % de los pedidos con fecha confirmada dentro del plazo.</t>
  </si>
  <si>
    <t xml:space="preserve">Plazo de confirmación · plazo de aviso al cliente</t>
  </si>
  <si>
    <t xml:space="preserve">D-PL11</t>
  </si>
  <si>
    <t xml:space="preserve">04.2</t>
  </si>
  <si>
    <t xml:space="preserve">Propuesta de fecha con temporales y capacidad libre</t>
  </si>
  <si>
    <t xml:space="preserve">Al entrar el pedido, el sistema propone la fecha confirmada a partir de los temporales y la capacidad libre. Planificación solo revisa las que no encajan.</t>
  </si>
  <si>
    <t xml:space="preserve">Cartera Pedidos → Se simplifica</t>
  </si>
  <si>
    <t xml:space="preserve">En la cartera, la fecha la propone el sistema con la disponibilidad real.</t>
  </si>
  <si>
    <t xml:space="preserve">La fecha se propone con datos, no se teclea la que pide el cliente.</t>
  </si>
  <si>
    <t xml:space="preserve">≥ 85 % de las fechas aceptadas sin cambios y OTIF a fecha confirmada en objetivo.</t>
  </si>
  <si>
    <t xml:space="preserve">Temporales automáticos · migración de GIO a web</t>
  </si>
  <si>
    <t xml:space="preserve">D-PL10</t>
  </si>
  <si>
    <t xml:space="preserve">04.3</t>
  </si>
  <si>
    <t xml:space="preserve">Consulta</t>
  </si>
  <si>
    <t xml:space="preserve">Copiloto de plazos para Comercial</t>
  </si>
  <si>
    <t xml:space="preserve">Comercial pregunta «¿cuándo puedo servir X?» y el copiloto responde con temporales, capacidad libre y cartera, sin llamar a Planificación. Solo lee datos.</t>
  </si>
  <si>
    <t xml:space="preserve">Las consultas de plazo se resuelven con un copiloto; Planificación solo atiende las difíciles.</t>
  </si>
  <si>
    <t xml:space="preserve">Comercial resuelve sola la mayoría de consultas de plazo.</t>
  </si>
  <si>
    <t xml:space="preserve">−70 % de llamadas de plazo a Planificación.</t>
  </si>
  <si>
    <t xml:space="preserve">D-PL25</t>
  </si>
  <si>
    <t xml:space="preserve">04.4</t>
  </si>
  <si>
    <t xml:space="preserve">Agente de renegociación de fechas</t>
  </si>
  <si>
    <t xml:space="preserve">Cuando el programa muestra que un pedido no llega a su fecha confirmada, calcula la nueva fecha viable y prepara el aviso al cliente para que Comercial lo revise y lo envíe por O2C.</t>
  </si>
  <si>
    <t xml:space="preserve">Ajustes Planificación y Pedidos → Se simplifica</t>
  </si>
  <si>
    <t xml:space="preserve">Cuando un pedido no llega, el agente propone la nueva fecha y el aviso; Comercial lo envía.</t>
  </si>
  <si>
    <t xml:space="preserve">Ningún pedido llega tarde sin que el cliente lo sepa antes.</t>
  </si>
  <si>
    <t xml:space="preserve">≥ 90 % de los pedidos que no llegan avisados antes de su fecha.</t>
  </si>
  <si>
    <t xml:space="preserve">Política de fecha confirmada · Cuadro de mando de servicio con alertas</t>
  </si>
  <si>
    <t xml:space="preserve">06.1</t>
  </si>
  <si>
    <t xml:space="preserve">P2R-06 · Programación estable y optimizada</t>
  </si>
  <si>
    <t xml:space="preserve">HT-P2R-08, HT-P2R-09</t>
  </si>
  <si>
    <t xml:space="preserve">Zona congelada y reglas de prioridad</t>
  </si>
  <si>
    <t xml:space="preserve">Fijar una zona congelada en el programa y escribir las reglas de prioridad (cliente, fecha confirmada, margen y penalización). Si no hay acuerdo, decide la dirección de planta aplicando esas reglas, no por teléfono.</t>
  </si>
  <si>
    <t xml:space="preserve">Los cambios de última hora pasan por reglas conocidas.</t>
  </si>
  <si>
    <t xml:space="preserve">Reglas publicadas y aplicadas en el 100 % de las urgencias.</t>
  </si>
  <si>
    <t xml:space="preserve">Horas de la zona congelada (48–72 h) · árbitro</t>
  </si>
  <si>
    <t xml:space="preserve">D-PL08, D-PL20</t>
  </si>
  <si>
    <t xml:space="preserve">06.2</t>
  </si>
  <si>
    <t xml:space="preserve">Matriz de tiempos de cambio</t>
  </si>
  <si>
    <t xml:space="preserve">Medir con Producción los tiempos de cambio de molde y de altura entre referencias de cada línea. El dato se mantiene en R2M y es la base del optimizador.</t>
  </si>
  <si>
    <t xml:space="preserve">Se sabe cuánto cuesta cada cambio y se puede optimizar.</t>
  </si>
  <si>
    <t xml:space="preserve">Matriz completa para el 100 % de las líneas.</t>
  </si>
  <si>
    <t xml:space="preserve">D-PL19 · maestro X03 (R2M)</t>
  </si>
  <si>
    <t xml:space="preserve">06.3</t>
  </si>
  <si>
    <t xml:space="preserve">Control de la zona congelada en GIO</t>
  </si>
  <si>
    <t xml:space="preserve">GIO bloquea los cambios dentro de la zona congelada salvo aprobación, y registra quién los pide y por qué.</t>
  </si>
  <si>
    <t xml:space="preserve">¿Cambios de última hora? → La hace el sistema</t>
  </si>
  <si>
    <t xml:space="preserve">La decisión «¿cambio de última hora?» la controla el sistema: dentro de la zona congelada solo con aprobación.</t>
  </si>
  <si>
    <t xml:space="preserve">La zona congelada se respeta sin depender de la memoria de nadie.</t>
  </si>
  <si>
    <t xml:space="preserve">≤ 2 cambios aprobados por semana dentro de la zona congelada.</t>
  </si>
  <si>
    <t xml:space="preserve">D-PL08</t>
  </si>
  <si>
    <t xml:space="preserve">06.4</t>
  </si>
  <si>
    <t xml:space="preserve">Optimizador de secuencia</t>
  </si>
  <si>
    <t xml:space="preserve">Propone la secuencia por línea minimizando los cambios de molde y altura y respetando las fechas confirmadas; el programador la revisa y la aprueba. Las urgencias se recalculan con las reglas de prioridad.</t>
  </si>
  <si>
    <t xml:space="preserve">Secuencia Por Línea → Ciclo · Molde · Altura → Se simplifica
Recuenciar urgencias y prioridades → Desaparece</t>
  </si>
  <si>
    <t xml:space="preserve">La secuencia la propone un optimizador y el programador la aprueba; la resecuenciación manual desaparece.</t>
  </si>
  <si>
    <t xml:space="preserve">La secuencia deja de hacerse a mano y la resecuenciación manual desaparece.</t>
  </si>
  <si>
    <t xml:space="preserve">−20 % de horas de cambio y adherencia al programa ≥ 90 %.</t>
  </si>
  <si>
    <t xml:space="preserve">Zona congelada y reglas de prioridad · Matriz de tiempos de cambio · migración de GIO a web</t>
  </si>
  <si>
    <t xml:space="preserve">D-PL19</t>
  </si>
  <si>
    <t xml:space="preserve">06.5</t>
  </si>
  <si>
    <t xml:space="preserve">Agente de urgencias</t>
  </si>
  <si>
    <t xml:space="preserve">Ante una petición de cambio, calcula el impacto (qué pedidos se retrasan y cuántos cambios extra supone), aplica las reglas de prioridad y propone la decisión. Si hay conflicto, la escala al árbitro con el impacto calculado.</t>
  </si>
  <si>
    <t xml:space="preserve">¿Cambios de última hora? → Se simplifica</t>
  </si>
  <si>
    <t xml:space="preserve">Las urgencias las evalúa un agente con su impacto; solo los conflictos llegan a la dirección de planta.</t>
  </si>
  <si>
    <t xml:space="preserve">Cada urgencia se decide con su impacto delante.</t>
  </si>
  <si>
    <t xml:space="preserve">100 % de las urgencias con impacto calculado y −50 % de escalados.</t>
  </si>
  <si>
    <t xml:space="preserve">D-PL20</t>
  </si>
  <si>
    <t xml:space="preserve">08.1</t>
  </si>
  <si>
    <t xml:space="preserve">P2R-08 · Control del servicio y mejora continua</t>
  </si>
  <si>
    <t xml:space="preserve">HT-P2R-11, HT-P2R-12</t>
  </si>
  <si>
    <t xml:space="preserve">KPI de servicio y de adherencia</t>
  </si>
  <si>
    <t xml:space="preserve">Definir el OTIF contra fecha confirmada y la adherencia al programa (fórmula, fuente y frecuencia) y revisarlos cada semana con Comercial.</t>
  </si>
  <si>
    <t xml:space="preserve">Se sabe qué % del servicio se cumple y contra qué fecha.</t>
  </si>
  <si>
    <t xml:space="preserve">KPIs publicados cada semana desde mayo de 2027.</t>
  </si>
  <si>
    <t xml:space="preserve">Objetivo de OTIF</t>
  </si>
  <si>
    <t xml:space="preserve">D-PL23</t>
  </si>
  <si>
    <t xml:space="preserve">08.2</t>
  </si>
  <si>
    <t xml:space="preserve">Revisión mensual de causas de atraso</t>
  </si>
  <si>
    <t xml:space="preserve">Cada atraso se clasifica con una lista cerrada de causas (previsión, capacidad, material, secuencia o cambio del cliente). Cada mes se revisan las principales con una acción y un responsable, y lo aprendido vuelve a la previsión o a los parámetros.</t>
  </si>
  <si>
    <t xml:space="preserve">Los atrasos dejan de repetirse por la misma causa.</t>
  </si>
  <si>
    <t xml:space="preserve">≥ 90 % de los atrasos con causa y cada causa principal con acción.</t>
  </si>
  <si>
    <t xml:space="preserve">08.3</t>
  </si>
  <si>
    <t xml:space="preserve">Cuadro de mando de servicio con alertas</t>
  </si>
  <si>
    <t xml:space="preserve">OTIF, atrasos y pedidos en riesgo se calculan solos cada día y sustituyen al reporte diario de cargas atrasadas. Avisa a Comercial de los pedidos que van a llegar tarde antes de que ocurra.</t>
  </si>
  <si>
    <t xml:space="preserve">Seguimiento Diario Cumplimiento Servicio → La hace el sistema
¿Hay Atrasos? → La hace el sistema</t>
  </si>
  <si>
    <t xml:space="preserve">El seguimiento diario lo hace el sistema y avisa de los pedidos en riesgo antes del atraso.</t>
  </si>
  <si>
    <t xml:space="preserve">Los atrasos se ven antes de que pasen y el reporte manual desaparece.</t>
  </si>
  <si>
    <t xml:space="preserve">Reporte diario manual eliminado y ≥ 80 % de los atrasos avisados antes de la fecha.</t>
  </si>
  <si>
    <t xml:space="preserve">08.4</t>
  </si>
  <si>
    <t xml:space="preserve">Copiloto «¿por qué va tarde el pedido X?»</t>
  </si>
  <si>
    <t xml:space="preserve">Responde a Comercial y a Planificación el estado y la causa de un pedido con los datos del sistema, sin cambiar nada.</t>
  </si>
  <si>
    <t xml:space="preserve">Seguimiento Diario Cumplimiento Servicio → Se simplifica</t>
  </si>
  <si>
    <t xml:space="preserve">Un copiloto responde por qué va tarde un pedido; Planificación solo atiende los casos raros.</t>
  </si>
  <si>
    <t xml:space="preserve">Las preguntas sobre pedidos se resuelven sin buscar en varias pantallas ni llamar.</t>
  </si>
  <si>
    <t xml:space="preserve">≥ 80 % de las consultas resueltas sin intervención de Planificación.</t>
  </si>
  <si>
    <t xml:space="preserve">08.5</t>
  </si>
  <si>
    <t xml:space="preserve">Agente de causa raíz</t>
  </si>
  <si>
    <t xml:space="preserve">Clasifica cada atraso por causa, propone la acción y devuelve lo aprendido a la previsión y a los parámetros (por ejemplo, ajustar un tiempo de ciclo o la previsión de una familia). Planificación aprueba.</t>
  </si>
  <si>
    <t xml:space="preserve">Los ajustes tras un atraso los prepara un agente con su causa; Planificación los aprueba.</t>
  </si>
  <si>
    <t xml:space="preserve">El ciclo aprende solo: cada atraso deja una corrección propuesta.</t>
  </si>
  <si>
    <t xml:space="preserve">≥ 90 % de los atrasos con causa asignada por el agente y causas repetidas −30 % en 6 meses.</t>
  </si>
  <si>
    <t xml:space="preserve">Revisión mensual de causas de atraso · Cuadro de mando de servicio con alertas</t>
  </si>
  <si>
    <t xml:space="preserve">Resumen por palanca</t>
  </si>
  <si>
    <t xml:space="preserve">Se recalcula al cambiar la hoja Intervenciones.</t>
  </si>
  <si>
    <t xml:space="preserve">Palanca</t>
  </si>
  <si>
    <t xml:space="preserve">Hallazgos</t>
  </si>
  <si>
    <t xml:space="preserve">Intervenciones</t>
  </si>
  <si>
    <t xml:space="preserve">Último go-live</t>
  </si>
  <si>
    <t xml:space="preserve">P2R-01</t>
  </si>
  <si>
    <t xml:space="preserve">Gestión de la demanda</t>
  </si>
  <si>
    <t xml:space="preserve">P2R-02</t>
  </si>
  <si>
    <t xml:space="preserve">S&amp;OP y plan de capacidad</t>
  </si>
  <si>
    <t xml:space="preserve">P2R-03</t>
  </si>
  <si>
    <t xml:space="preserve">Política de inventario por segmento</t>
  </si>
  <si>
    <t xml:space="preserve">P2R-04</t>
  </si>
  <si>
    <t xml:space="preserve">Promesa de fecha fiable</t>
  </si>
  <si>
    <t xml:space="preserve">P2R-06</t>
  </si>
  <si>
    <t xml:space="preserve">Programación estable y optimizada</t>
  </si>
  <si>
    <t xml:space="preserve">P2R-08</t>
  </si>
  <si>
    <t xml:space="preserve">Control del servicio y mejora continua</t>
  </si>
  <si>
    <t xml:space="preserve">Total</t>
  </si>
  <si>
    <t xml:space="preserve">Cajas del flujo as-is de Ondupet que cambian</t>
  </si>
  <si>
    <t xml:space="preserve">Lo que el to-be pintará en cada caja. «Nueva tarea» son tareas que añade una intervención.</t>
  </si>
  <si>
    <t xml:space="preserve">Fase</t>
  </si>
  <si>
    <t xml:space="preserve">Caja</t>
  </si>
  <si>
    <t xml:space="preserve">Nº intervenciones</t>
  </si>
  <si>
    <t xml:space="preserve">Intervenciones y qué le pasa</t>
  </si>
  <si>
    <t xml:space="preserve">Demanda y previsión</t>
  </si>
  <si>
    <t xml:space="preserve">Introducción Previsiones Sistema</t>
  </si>
  <si>
    <t xml:space="preserve">Bloqueo del mes en curso y registro de cambios en GIO (Automatización) → Se simplifica
Agente de previsión base (Agente) → Se simplifica</t>
  </si>
  <si>
    <t xml:space="preserve">Comprobación de Accuracy Mes en Curso</t>
  </si>
  <si>
    <t xml:space="preserve">KPI automático de precisión y sesgo por familia (Automatización) → La hace el sistema</t>
  </si>
  <si>
    <t xml:space="preserve">¿Buen % de Accuracy?</t>
  </si>
  <si>
    <t xml:space="preserve">Corrección Previsiones Futuros Meses</t>
  </si>
  <si>
    <t xml:space="preserve">Agente de análisis de desviaciones (Agente) → Se simplifica</t>
  </si>
  <si>
    <t xml:space="preserve">S&amp;OP y Plan Maestro</t>
  </si>
  <si>
    <t xml:space="preserve">Plan de Fabricación → Decisión de turnos y balanceo de materiales</t>
  </si>
  <si>
    <t xml:space="preserve">Carga frente a capacidad automática (Automatización) → Se simplifica
Agente de escenarios de capacidad (Agente) → Se simplifica</t>
  </si>
  <si>
    <t xml:space="preserve">Temporales → Reserva de Ciclo Por Familia</t>
  </si>
  <si>
    <t xml:space="preserve">Temporales automáticos (Automatización) → La hace el sistema</t>
  </si>
  <si>
    <t xml:space="preserve">Cartera Pedidos</t>
  </si>
  <si>
    <t xml:space="preserve">Propuesta de fecha con temporales y capacidad libre (Automatización) → Se simplifica
Copiloto de plazos para Comercial (Consulta) → Se simplifica</t>
  </si>
  <si>
    <t xml:space="preserve">Necesidades y Aprovisionamiento</t>
  </si>
  <si>
    <t xml:space="preserve">Propuesta de Fabricación PT</t>
  </si>
  <si>
    <t xml:space="preserve">Agrupación de Necesidades y Propuesta de Fabricación ST</t>
  </si>
  <si>
    <t xml:space="preserve">MRP Semanal → Faltas de MMPP y auxiliares</t>
  </si>
  <si>
    <t xml:space="preserve">Programación</t>
  </si>
  <si>
    <t xml:space="preserve">Secuencia Por Línea → Ciclo · Molde · Altura</t>
  </si>
  <si>
    <t xml:space="preserve">Optimizador de secuencia (Automatización) → Se simplifica</t>
  </si>
  <si>
    <t xml:space="preserve">¿Cambios de última hora?</t>
  </si>
  <si>
    <t xml:space="preserve">Control de la zona congelada en GIO (Automatización) → La hace el sistema
Agente de urgencias (Agente) → Se simplifica</t>
  </si>
  <si>
    <t xml:space="preserve">Recuenciar urgencias y prioridades</t>
  </si>
  <si>
    <t xml:space="preserve">Optimizador de secuencia (Automatización) → Desaparece</t>
  </si>
  <si>
    <t xml:space="preserve">Liberación</t>
  </si>
  <si>
    <t xml:space="preserve">¿Utillaje y Aprovisionamiento a línea Correcto?</t>
  </si>
  <si>
    <t xml:space="preserve">Liberación de la Orden</t>
  </si>
  <si>
    <t xml:space="preserve">Seguimiento y Control</t>
  </si>
  <si>
    <t xml:space="preserve">Seguimiento Diario Cumplimiento Servicio</t>
  </si>
  <si>
    <t xml:space="preserve">Cuadro de mando de servicio con alertas (Automatización) → La hace el sistema
Copiloto «¿por qué va tarde el pedido X?» (Consulta) → Se simplifica</t>
  </si>
  <si>
    <t xml:space="preserve">¿Hay Atrasos?</t>
  </si>
  <si>
    <t xml:space="preserve">Cuadro de mando de servicio con alertas (Automatización) → La hace el sistema</t>
  </si>
  <si>
    <t xml:space="preserve">Ajustes Planificación y Pedidos</t>
  </si>
  <si>
    <t xml:space="preserve">Agente de renegociación de fechas (Agente) → Se simplifica
Agente de causa raíz (Agente) → Se simplifica</t>
  </si>
  <si>
    <t xml:space="preserve">S&amp;OP y Plan Maestro (nueva)</t>
  </si>
  <si>
    <t xml:space="preserve">Revisión mensual de stock por segmento</t>
  </si>
  <si>
    <t xml:space="preserve">Agente de stock por segmento (Agente) → Nueva tarea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</si>
</sst>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63A"/>
      <name val="Arial"/>
      <family val="0"/>
      <charset val="1"/>
    </font>
    <font>
      <i val="true"/>
      <sz val="9"/>
      <color rgb="FF5B6B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263A"/>
      <name val="Arial"/>
      <family val="0"/>
      <charset val="1"/>
    </font>
    <font>
      <b val="true"/>
      <sz val="10"/>
      <color rgb="FF00263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263A"/>
        <bgColor rgb="FF003300"/>
      </patternFill>
    </fill>
    <fill>
      <patternFill patternType="solid">
        <fgColor rgb="FFEEF1F4"/>
        <bgColor rgb="FFE4EEFB"/>
      </patternFill>
    </fill>
    <fill>
      <patternFill patternType="solid">
        <fgColor rgb="FFE3F3EA"/>
        <bgColor rgb="FFE4EEFB"/>
      </patternFill>
    </fill>
    <fill>
      <patternFill patternType="solid">
        <fgColor rgb="FFEEE9FB"/>
        <bgColor rgb="FFEEF1F4"/>
      </patternFill>
    </fill>
    <fill>
      <patternFill patternType="solid">
        <fgColor rgb="FFE4EEFB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FE5"/>
      </left>
      <right style="thin">
        <color rgb="FFD7DFE5"/>
      </right>
      <top style="thin">
        <color rgb="FFD7DFE5"/>
      </top>
      <bottom style="thin">
        <color rgb="FFD7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26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3EA"/>
          <bgColor rgb="FF000000"/>
        </patternFill>
      </fill>
    </dxf>
    <dxf>
      <fill>
        <patternFill patternType="solid">
          <fgColor rgb="FFE4EEFB"/>
          <bgColor rgb="FF000000"/>
        </patternFill>
      </fill>
    </dxf>
    <dxf>
      <fill>
        <patternFill patternType="solid">
          <fgColor rgb="FFEEE9FB"/>
          <bgColor rgb="FF000000"/>
        </patternFill>
      </fill>
    </dxf>
    <dxf>
      <fill>
        <patternFill patternType="solid">
          <fgColor rgb="FFEEF1F4"/>
          <bgColor rgb="FF000000"/>
        </patternFill>
      </fill>
    </dxf>
    <dxf>
      <font>
        <name val="Arial"/>
        <charset val="1"/>
        <family val="0"/>
        <color rgb="FF9AA5B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4"/>
      <rgbColor rgb="FFE3F3EA"/>
      <rgbColor rgb="FF660066"/>
      <rgbColor rgb="FFFF8080"/>
      <rgbColor rgb="FF0066CC"/>
      <rgbColor rgb="FFD7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EFB"/>
      <rgbColor rgb="FFEEE9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AA5B0"/>
      <rgbColor rgb="FF0026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46"/>
    <col collapsed="false" customWidth="true" hidden="false" outlineLevel="0" max="11" min="10" style="0" width="11"/>
    <col collapsed="false" customWidth="true" hidden="false" outlineLevel="0" max="12" min="12" style="0" width="36"/>
    <col collapsed="false" customWidth="true" hidden="false" outlineLevel="0" max="13" min="13" style="0" width="4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34"/>
    <col collapsed="false" customWidth="true" hidden="false" outlineLevel="0" max="18" min="18" style="0" width="30"/>
    <col collapsed="false" customWidth="true" hidden="false" outlineLevel="0" max="19" min="1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35.05" hidden="false" customHeight="false" outlineLevel="0" collapsed="false">
      <c r="A5" s="4" t="s">
        <v>21</v>
      </c>
      <c r="B5" s="5" t="s">
        <v>22</v>
      </c>
      <c r="C5" s="5" t="s">
        <v>23</v>
      </c>
      <c r="D5" s="6" t="s">
        <v>24</v>
      </c>
      <c r="E5" s="5" t="s">
        <v>25</v>
      </c>
      <c r="F5" s="5" t="s">
        <v>26</v>
      </c>
      <c r="G5" s="4" t="s">
        <v>27</v>
      </c>
      <c r="H5" s="5"/>
      <c r="I5" s="5"/>
      <c r="J5" s="7"/>
      <c r="K5" s="7"/>
      <c r="L5" s="5" t="s">
        <v>28</v>
      </c>
      <c r="M5" s="5" t="s">
        <v>29</v>
      </c>
      <c r="N5" s="8" t="n">
        <v>46419</v>
      </c>
      <c r="O5" s="8" t="n">
        <v>46477</v>
      </c>
      <c r="P5" s="4" t="s">
        <v>30</v>
      </c>
      <c r="Q5" s="5"/>
      <c r="R5" s="5" t="s">
        <v>31</v>
      </c>
      <c r="S5" s="5" t="s">
        <v>32</v>
      </c>
    </row>
    <row r="6" customFormat="false" ht="35.05" hidden="false" customHeight="false" outlineLevel="0" collapsed="false">
      <c r="A6" s="4" t="s">
        <v>33</v>
      </c>
      <c r="B6" s="5" t="s">
        <v>22</v>
      </c>
      <c r="C6" s="5" t="s">
        <v>23</v>
      </c>
      <c r="D6" s="6" t="s">
        <v>24</v>
      </c>
      <c r="E6" s="5" t="s">
        <v>34</v>
      </c>
      <c r="F6" s="5" t="s">
        <v>35</v>
      </c>
      <c r="G6" s="4" t="s">
        <v>27</v>
      </c>
      <c r="H6" s="5"/>
      <c r="I6" s="5"/>
      <c r="J6" s="7"/>
      <c r="K6" s="7"/>
      <c r="L6" s="5" t="s">
        <v>36</v>
      </c>
      <c r="M6" s="5" t="s">
        <v>37</v>
      </c>
      <c r="N6" s="8" t="n">
        <v>46447</v>
      </c>
      <c r="O6" s="8" t="n">
        <v>46507</v>
      </c>
      <c r="P6" s="4" t="s">
        <v>30</v>
      </c>
      <c r="Q6" s="5" t="s">
        <v>25</v>
      </c>
      <c r="R6" s="5" t="s">
        <v>38</v>
      </c>
      <c r="S6" s="5" t="s">
        <v>39</v>
      </c>
    </row>
    <row r="7" customFormat="false" ht="23.85" hidden="false" customHeight="false" outlineLevel="0" collapsed="false">
      <c r="A7" s="4" t="s">
        <v>40</v>
      </c>
      <c r="B7" s="5" t="s">
        <v>22</v>
      </c>
      <c r="C7" s="5" t="s">
        <v>23</v>
      </c>
      <c r="D7" s="6" t="s">
        <v>24</v>
      </c>
      <c r="E7" s="5" t="s">
        <v>41</v>
      </c>
      <c r="F7" s="5" t="s">
        <v>42</v>
      </c>
      <c r="G7" s="4" t="s">
        <v>27</v>
      </c>
      <c r="H7" s="5"/>
      <c r="I7" s="5"/>
      <c r="J7" s="7"/>
      <c r="K7" s="7"/>
      <c r="L7" s="5" t="s">
        <v>43</v>
      </c>
      <c r="M7" s="5" t="s">
        <v>44</v>
      </c>
      <c r="N7" s="8" t="n">
        <v>46447</v>
      </c>
      <c r="O7" s="8" t="n">
        <v>46507</v>
      </c>
      <c r="P7" s="4" t="s">
        <v>30</v>
      </c>
      <c r="Q7" s="5"/>
      <c r="R7" s="5" t="s">
        <v>45</v>
      </c>
      <c r="S7" s="5" t="s">
        <v>46</v>
      </c>
    </row>
    <row r="8" customFormat="false" ht="23.85" hidden="false" customHeight="false" outlineLevel="0" collapsed="false">
      <c r="A8" s="4" t="s">
        <v>47</v>
      </c>
      <c r="B8" s="5" t="s">
        <v>22</v>
      </c>
      <c r="C8" s="5" t="s">
        <v>23</v>
      </c>
      <c r="D8" s="9" t="s">
        <v>48</v>
      </c>
      <c r="E8" s="5" t="s">
        <v>49</v>
      </c>
      <c r="F8" s="5" t="s">
        <v>50</v>
      </c>
      <c r="G8" s="4" t="s">
        <v>51</v>
      </c>
      <c r="H8" s="5" t="s">
        <v>52</v>
      </c>
      <c r="I8" s="5" t="s">
        <v>53</v>
      </c>
      <c r="J8" s="7" t="n">
        <v>1</v>
      </c>
      <c r="K8" s="7" t="n">
        <v>0.05</v>
      </c>
      <c r="L8" s="5" t="s">
        <v>54</v>
      </c>
      <c r="M8" s="5" t="s">
        <v>55</v>
      </c>
      <c r="N8" s="8" t="n">
        <v>46478</v>
      </c>
      <c r="O8" s="8" t="n">
        <v>46507</v>
      </c>
      <c r="P8" s="4" t="s">
        <v>30</v>
      </c>
      <c r="Q8" s="5" t="s">
        <v>25</v>
      </c>
      <c r="R8" s="5"/>
      <c r="S8" s="5" t="s">
        <v>32</v>
      </c>
    </row>
    <row r="9" customFormat="false" ht="35.05" hidden="false" customHeight="false" outlineLevel="0" collapsed="false">
      <c r="A9" s="4" t="s">
        <v>56</v>
      </c>
      <c r="B9" s="5" t="s">
        <v>22</v>
      </c>
      <c r="C9" s="5" t="s">
        <v>23</v>
      </c>
      <c r="D9" s="9" t="s">
        <v>48</v>
      </c>
      <c r="E9" s="5" t="s">
        <v>57</v>
      </c>
      <c r="F9" s="5" t="s">
        <v>58</v>
      </c>
      <c r="G9" s="4" t="s">
        <v>51</v>
      </c>
      <c r="H9" s="5" t="s">
        <v>59</v>
      </c>
      <c r="I9" s="5" t="s">
        <v>60</v>
      </c>
      <c r="J9" s="7" t="n">
        <v>1</v>
      </c>
      <c r="K9" s="7" t="n">
        <v>0.2</v>
      </c>
      <c r="L9" s="5" t="s">
        <v>61</v>
      </c>
      <c r="M9" s="5" t="s">
        <v>62</v>
      </c>
      <c r="N9" s="8" t="n">
        <v>46482</v>
      </c>
      <c r="O9" s="8" t="n">
        <v>46535</v>
      </c>
      <c r="P9" s="4" t="s">
        <v>30</v>
      </c>
      <c r="Q9" s="5"/>
      <c r="R9" s="5" t="s">
        <v>63</v>
      </c>
      <c r="S9" s="5" t="s">
        <v>64</v>
      </c>
    </row>
    <row r="10" customFormat="false" ht="35.05" hidden="false" customHeight="false" outlineLevel="0" collapsed="false">
      <c r="A10" s="4" t="s">
        <v>65</v>
      </c>
      <c r="B10" s="5" t="s">
        <v>22</v>
      </c>
      <c r="C10" s="5" t="s">
        <v>23</v>
      </c>
      <c r="D10" s="10" t="s">
        <v>66</v>
      </c>
      <c r="E10" s="5" t="s">
        <v>67</v>
      </c>
      <c r="F10" s="5" t="s">
        <v>68</v>
      </c>
      <c r="G10" s="4" t="s">
        <v>51</v>
      </c>
      <c r="H10" s="5" t="s">
        <v>69</v>
      </c>
      <c r="I10" s="5" t="s">
        <v>70</v>
      </c>
      <c r="J10" s="7" t="n">
        <v>0.8</v>
      </c>
      <c r="K10" s="7" t="n">
        <v>0.2</v>
      </c>
      <c r="L10" s="5" t="s">
        <v>71</v>
      </c>
      <c r="M10" s="5" t="s">
        <v>72</v>
      </c>
      <c r="N10" s="8" t="n">
        <v>46692</v>
      </c>
      <c r="O10" s="8" t="n">
        <v>46843</v>
      </c>
      <c r="P10" s="4" t="s">
        <v>30</v>
      </c>
      <c r="Q10" s="5" t="s">
        <v>73</v>
      </c>
      <c r="R10" s="5"/>
      <c r="S10" s="5" t="s">
        <v>74</v>
      </c>
    </row>
    <row r="11" customFormat="false" ht="35.05" hidden="false" customHeight="false" outlineLevel="0" collapsed="false">
      <c r="A11" s="4" t="s">
        <v>75</v>
      </c>
      <c r="B11" s="5" t="s">
        <v>22</v>
      </c>
      <c r="C11" s="5" t="s">
        <v>23</v>
      </c>
      <c r="D11" s="10" t="s">
        <v>66</v>
      </c>
      <c r="E11" s="5" t="s">
        <v>76</v>
      </c>
      <c r="F11" s="5" t="s">
        <v>77</v>
      </c>
      <c r="G11" s="4" t="s">
        <v>51</v>
      </c>
      <c r="H11" s="5" t="s">
        <v>52</v>
      </c>
      <c r="I11" s="5" t="s">
        <v>78</v>
      </c>
      <c r="J11" s="7" t="n">
        <v>0.8</v>
      </c>
      <c r="K11" s="7" t="n">
        <v>0.2</v>
      </c>
      <c r="L11" s="5" t="s">
        <v>79</v>
      </c>
      <c r="M11" s="5" t="s">
        <v>80</v>
      </c>
      <c r="N11" s="8" t="n">
        <v>46753</v>
      </c>
      <c r="O11" s="8" t="n">
        <v>46934</v>
      </c>
      <c r="P11" s="4" t="s">
        <v>30</v>
      </c>
      <c r="Q11" s="5" t="s">
        <v>81</v>
      </c>
      <c r="R11" s="5"/>
      <c r="S11" s="5" t="s">
        <v>82</v>
      </c>
    </row>
    <row r="12" customFormat="false" ht="35.05" hidden="false" customHeight="false" outlineLevel="0" collapsed="false">
      <c r="A12" s="4" t="s">
        <v>83</v>
      </c>
      <c r="B12" s="5" t="s">
        <v>84</v>
      </c>
      <c r="C12" s="5" t="s">
        <v>85</v>
      </c>
      <c r="D12" s="6" t="s">
        <v>24</v>
      </c>
      <c r="E12" s="5" t="s">
        <v>86</v>
      </c>
      <c r="F12" s="5" t="s">
        <v>87</v>
      </c>
      <c r="G12" s="4" t="s">
        <v>27</v>
      </c>
      <c r="H12" s="5"/>
      <c r="I12" s="5"/>
      <c r="J12" s="7"/>
      <c r="K12" s="7"/>
      <c r="L12" s="5" t="s">
        <v>88</v>
      </c>
      <c r="M12" s="5" t="s">
        <v>89</v>
      </c>
      <c r="N12" s="8" t="n">
        <v>46478</v>
      </c>
      <c r="O12" s="8" t="n">
        <v>46535</v>
      </c>
      <c r="P12" s="4" t="s">
        <v>30</v>
      </c>
      <c r="Q12" s="5"/>
      <c r="R12" s="5" t="s">
        <v>90</v>
      </c>
      <c r="S12" s="5" t="s">
        <v>91</v>
      </c>
    </row>
    <row r="13" customFormat="false" ht="35.05" hidden="false" customHeight="false" outlineLevel="0" collapsed="false">
      <c r="A13" s="4" t="s">
        <v>92</v>
      </c>
      <c r="B13" s="5" t="s">
        <v>84</v>
      </c>
      <c r="C13" s="5" t="s">
        <v>85</v>
      </c>
      <c r="D13" s="6" t="s">
        <v>24</v>
      </c>
      <c r="E13" s="5" t="s">
        <v>93</v>
      </c>
      <c r="F13" s="5" t="s">
        <v>94</v>
      </c>
      <c r="G13" s="4" t="s">
        <v>27</v>
      </c>
      <c r="H13" s="5"/>
      <c r="I13" s="5"/>
      <c r="J13" s="7"/>
      <c r="K13" s="7"/>
      <c r="L13" s="5" t="s">
        <v>95</v>
      </c>
      <c r="M13" s="5" t="s">
        <v>96</v>
      </c>
      <c r="N13" s="8" t="n">
        <v>46510</v>
      </c>
      <c r="O13" s="8" t="n">
        <v>46568</v>
      </c>
      <c r="P13" s="4" t="s">
        <v>30</v>
      </c>
      <c r="Q13" s="5" t="s">
        <v>86</v>
      </c>
      <c r="R13" s="5" t="s">
        <v>97</v>
      </c>
      <c r="S13" s="5" t="s">
        <v>98</v>
      </c>
    </row>
    <row r="14" customFormat="false" ht="35.05" hidden="false" customHeight="false" outlineLevel="0" collapsed="false">
      <c r="A14" s="4" t="s">
        <v>99</v>
      </c>
      <c r="B14" s="5" t="s">
        <v>84</v>
      </c>
      <c r="C14" s="5" t="s">
        <v>85</v>
      </c>
      <c r="D14" s="9" t="s">
        <v>48</v>
      </c>
      <c r="E14" s="5" t="s">
        <v>100</v>
      </c>
      <c r="F14" s="5" t="s">
        <v>101</v>
      </c>
      <c r="G14" s="4" t="s">
        <v>51</v>
      </c>
      <c r="H14" s="5" t="s">
        <v>102</v>
      </c>
      <c r="I14" s="5" t="s">
        <v>103</v>
      </c>
      <c r="J14" s="7" t="n">
        <v>1</v>
      </c>
      <c r="K14" s="7" t="n">
        <v>0.15</v>
      </c>
      <c r="L14" s="5" t="s">
        <v>104</v>
      </c>
      <c r="M14" s="5" t="s">
        <v>105</v>
      </c>
      <c r="N14" s="8" t="n">
        <v>46539</v>
      </c>
      <c r="O14" s="8" t="n">
        <v>46598</v>
      </c>
      <c r="P14" s="4" t="s">
        <v>30</v>
      </c>
      <c r="Q14" s="5" t="s">
        <v>106</v>
      </c>
      <c r="R14" s="5"/>
      <c r="S14" s="5" t="s">
        <v>107</v>
      </c>
    </row>
    <row r="15" customFormat="false" ht="35.05" hidden="false" customHeight="false" outlineLevel="0" collapsed="false">
      <c r="A15" s="4" t="s">
        <v>108</v>
      </c>
      <c r="B15" s="5" t="s">
        <v>84</v>
      </c>
      <c r="C15" s="5" t="s">
        <v>85</v>
      </c>
      <c r="D15" s="9" t="s">
        <v>48</v>
      </c>
      <c r="E15" s="5" t="s">
        <v>109</v>
      </c>
      <c r="F15" s="5" t="s">
        <v>110</v>
      </c>
      <c r="G15" s="4" t="s">
        <v>51</v>
      </c>
      <c r="H15" s="5" t="s">
        <v>111</v>
      </c>
      <c r="I15" s="5" t="s">
        <v>112</v>
      </c>
      <c r="J15" s="7" t="n">
        <v>1</v>
      </c>
      <c r="K15" s="7" t="n">
        <v>0.1</v>
      </c>
      <c r="L15" s="5" t="s">
        <v>113</v>
      </c>
      <c r="M15" s="5" t="s">
        <v>114</v>
      </c>
      <c r="N15" s="8" t="n">
        <v>46539</v>
      </c>
      <c r="O15" s="8" t="n">
        <v>46598</v>
      </c>
      <c r="P15" s="4" t="s">
        <v>30</v>
      </c>
      <c r="Q15" s="5" t="s">
        <v>25</v>
      </c>
      <c r="R15" s="5"/>
      <c r="S15" s="5" t="s">
        <v>115</v>
      </c>
    </row>
    <row r="16" customFormat="false" ht="23.85" hidden="false" customHeight="false" outlineLevel="0" collapsed="false">
      <c r="A16" s="4" t="s">
        <v>116</v>
      </c>
      <c r="B16" s="5" t="s">
        <v>84</v>
      </c>
      <c r="C16" s="5" t="s">
        <v>85</v>
      </c>
      <c r="D16" s="10" t="s">
        <v>66</v>
      </c>
      <c r="E16" s="5" t="s">
        <v>117</v>
      </c>
      <c r="F16" s="5" t="s">
        <v>118</v>
      </c>
      <c r="G16" s="4" t="s">
        <v>51</v>
      </c>
      <c r="H16" s="5" t="s">
        <v>102</v>
      </c>
      <c r="I16" s="5" t="s">
        <v>119</v>
      </c>
      <c r="J16" s="7" t="n">
        <v>0.7</v>
      </c>
      <c r="K16" s="7" t="n">
        <v>0.3</v>
      </c>
      <c r="L16" s="5" t="s">
        <v>120</v>
      </c>
      <c r="M16" s="5" t="s">
        <v>121</v>
      </c>
      <c r="N16" s="8" t="n">
        <v>46692</v>
      </c>
      <c r="O16" s="8" t="n">
        <v>46843</v>
      </c>
      <c r="P16" s="4" t="s">
        <v>30</v>
      </c>
      <c r="Q16" s="5" t="s">
        <v>122</v>
      </c>
      <c r="R16" s="5"/>
      <c r="S16" s="5" t="s">
        <v>107</v>
      </c>
    </row>
    <row r="17" customFormat="false" ht="23.85" hidden="false" customHeight="false" outlineLevel="0" collapsed="false">
      <c r="A17" s="4" t="s">
        <v>123</v>
      </c>
      <c r="B17" s="5" t="s">
        <v>124</v>
      </c>
      <c r="C17" s="5" t="s">
        <v>125</v>
      </c>
      <c r="D17" s="6" t="s">
        <v>24</v>
      </c>
      <c r="E17" s="5" t="s">
        <v>126</v>
      </c>
      <c r="F17" s="5" t="s">
        <v>127</v>
      </c>
      <c r="G17" s="4" t="s">
        <v>27</v>
      </c>
      <c r="H17" s="5"/>
      <c r="I17" s="5"/>
      <c r="J17" s="7"/>
      <c r="K17" s="7"/>
      <c r="L17" s="5" t="s">
        <v>128</v>
      </c>
      <c r="M17" s="5" t="s">
        <v>129</v>
      </c>
      <c r="N17" s="8" t="n">
        <v>46447</v>
      </c>
      <c r="O17" s="8" t="n">
        <v>46477</v>
      </c>
      <c r="P17" s="4" t="s">
        <v>30</v>
      </c>
      <c r="Q17" s="5"/>
      <c r="R17" s="5" t="s">
        <v>130</v>
      </c>
      <c r="S17" s="5" t="s">
        <v>131</v>
      </c>
    </row>
    <row r="18" customFormat="false" ht="35.05" hidden="false" customHeight="false" outlineLevel="0" collapsed="false">
      <c r="A18" s="4" t="s">
        <v>132</v>
      </c>
      <c r="B18" s="5" t="s">
        <v>124</v>
      </c>
      <c r="C18" s="5" t="s">
        <v>125</v>
      </c>
      <c r="D18" s="6" t="s">
        <v>24</v>
      </c>
      <c r="E18" s="5" t="s">
        <v>133</v>
      </c>
      <c r="F18" s="5" t="s">
        <v>134</v>
      </c>
      <c r="G18" s="4" t="s">
        <v>27</v>
      </c>
      <c r="H18" s="5"/>
      <c r="I18" s="5"/>
      <c r="J18" s="7"/>
      <c r="K18" s="7"/>
      <c r="L18" s="5" t="s">
        <v>135</v>
      </c>
      <c r="M18" s="5" t="s">
        <v>136</v>
      </c>
      <c r="N18" s="8" t="n">
        <v>46478</v>
      </c>
      <c r="O18" s="8" t="n">
        <v>46538</v>
      </c>
      <c r="P18" s="4" t="s">
        <v>30</v>
      </c>
      <c r="Q18" s="5" t="s">
        <v>34</v>
      </c>
      <c r="R18" s="5"/>
      <c r="S18" s="5" t="s">
        <v>131</v>
      </c>
    </row>
    <row r="19" customFormat="false" ht="35.05" hidden="false" customHeight="false" outlineLevel="0" collapsed="false">
      <c r="A19" s="4" t="s">
        <v>137</v>
      </c>
      <c r="B19" s="5" t="s">
        <v>124</v>
      </c>
      <c r="C19" s="5" t="s">
        <v>125</v>
      </c>
      <c r="D19" s="9" t="s">
        <v>48</v>
      </c>
      <c r="E19" s="5" t="s">
        <v>138</v>
      </c>
      <c r="F19" s="5" t="s">
        <v>139</v>
      </c>
      <c r="G19" s="4" t="s">
        <v>27</v>
      </c>
      <c r="H19" s="5"/>
      <c r="I19" s="5" t="s">
        <v>140</v>
      </c>
      <c r="J19" s="7" t="n">
        <v>1</v>
      </c>
      <c r="K19" s="7" t="n">
        <v>0.1</v>
      </c>
      <c r="L19" s="5" t="s">
        <v>141</v>
      </c>
      <c r="M19" s="5" t="s">
        <v>142</v>
      </c>
      <c r="N19" s="8" t="n">
        <v>46447</v>
      </c>
      <c r="O19" s="8" t="n">
        <v>46507</v>
      </c>
      <c r="P19" s="4" t="s">
        <v>30</v>
      </c>
      <c r="Q19" s="5" t="s">
        <v>126</v>
      </c>
      <c r="R19" s="5"/>
      <c r="S19" s="5" t="s">
        <v>131</v>
      </c>
    </row>
    <row r="20" customFormat="false" ht="35.05" hidden="false" customHeight="false" outlineLevel="0" collapsed="false">
      <c r="A20" s="4" t="s">
        <v>143</v>
      </c>
      <c r="B20" s="5" t="s">
        <v>124</v>
      </c>
      <c r="C20" s="5" t="s">
        <v>125</v>
      </c>
      <c r="D20" s="10" t="s">
        <v>66</v>
      </c>
      <c r="E20" s="5" t="s">
        <v>144</v>
      </c>
      <c r="F20" s="5" t="s">
        <v>145</v>
      </c>
      <c r="G20" s="4" t="s">
        <v>51</v>
      </c>
      <c r="H20" s="5" t="s">
        <v>146</v>
      </c>
      <c r="I20" s="5" t="s">
        <v>147</v>
      </c>
      <c r="J20" s="7" t="n">
        <v>0.8</v>
      </c>
      <c r="K20" s="7" t="n">
        <v>0.2</v>
      </c>
      <c r="L20" s="5" t="s">
        <v>148</v>
      </c>
      <c r="M20" s="5" t="s">
        <v>149</v>
      </c>
      <c r="N20" s="8" t="n">
        <v>46753</v>
      </c>
      <c r="O20" s="8" t="n">
        <v>46873</v>
      </c>
      <c r="P20" s="4" t="s">
        <v>30</v>
      </c>
      <c r="Q20" s="5" t="s">
        <v>138</v>
      </c>
      <c r="R20" s="5"/>
      <c r="S20" s="5" t="s">
        <v>131</v>
      </c>
    </row>
    <row r="21" customFormat="false" ht="35.05" hidden="false" customHeight="false" outlineLevel="0" collapsed="false">
      <c r="A21" s="4" t="s">
        <v>150</v>
      </c>
      <c r="B21" s="5" t="s">
        <v>151</v>
      </c>
      <c r="C21" s="5" t="s">
        <v>152</v>
      </c>
      <c r="D21" s="6" t="s">
        <v>24</v>
      </c>
      <c r="E21" s="5" t="s">
        <v>153</v>
      </c>
      <c r="F21" s="5" t="s">
        <v>154</v>
      </c>
      <c r="G21" s="4" t="s">
        <v>27</v>
      </c>
      <c r="H21" s="5"/>
      <c r="I21" s="5"/>
      <c r="J21" s="7"/>
      <c r="K21" s="7"/>
      <c r="L21" s="5" t="s">
        <v>155</v>
      </c>
      <c r="M21" s="5" t="s">
        <v>156</v>
      </c>
      <c r="N21" s="8" t="n">
        <v>46447</v>
      </c>
      <c r="O21" s="8" t="n">
        <v>46507</v>
      </c>
      <c r="P21" s="4" t="s">
        <v>30</v>
      </c>
      <c r="Q21" s="5"/>
      <c r="R21" s="5" t="s">
        <v>157</v>
      </c>
      <c r="S21" s="5" t="s">
        <v>158</v>
      </c>
    </row>
    <row r="22" customFormat="false" ht="23.85" hidden="false" customHeight="false" outlineLevel="0" collapsed="false">
      <c r="A22" s="4" t="s">
        <v>159</v>
      </c>
      <c r="B22" s="5" t="s">
        <v>151</v>
      </c>
      <c r="C22" s="5" t="s">
        <v>152</v>
      </c>
      <c r="D22" s="9" t="s">
        <v>48</v>
      </c>
      <c r="E22" s="5" t="s">
        <v>160</v>
      </c>
      <c r="F22" s="5" t="s">
        <v>161</v>
      </c>
      <c r="G22" s="4" t="s">
        <v>51</v>
      </c>
      <c r="H22" s="5" t="s">
        <v>162</v>
      </c>
      <c r="I22" s="5" t="s">
        <v>163</v>
      </c>
      <c r="J22" s="7" t="n">
        <v>0.85</v>
      </c>
      <c r="K22" s="7" t="n">
        <v>0.15</v>
      </c>
      <c r="L22" s="5" t="s">
        <v>164</v>
      </c>
      <c r="M22" s="5" t="s">
        <v>165</v>
      </c>
      <c r="N22" s="8" t="n">
        <v>46692</v>
      </c>
      <c r="O22" s="8" t="n">
        <v>46812</v>
      </c>
      <c r="P22" s="4" t="s">
        <v>30</v>
      </c>
      <c r="Q22" s="5" t="s">
        <v>166</v>
      </c>
      <c r="R22" s="5"/>
      <c r="S22" s="5" t="s">
        <v>167</v>
      </c>
    </row>
    <row r="23" customFormat="false" ht="23.85" hidden="false" customHeight="false" outlineLevel="0" collapsed="false">
      <c r="A23" s="4" t="s">
        <v>168</v>
      </c>
      <c r="B23" s="5" t="s">
        <v>151</v>
      </c>
      <c r="C23" s="5" t="s">
        <v>152</v>
      </c>
      <c r="D23" s="11" t="s">
        <v>169</v>
      </c>
      <c r="E23" s="5" t="s">
        <v>170</v>
      </c>
      <c r="F23" s="5" t="s">
        <v>171</v>
      </c>
      <c r="G23" s="4" t="s">
        <v>51</v>
      </c>
      <c r="H23" s="5" t="s">
        <v>162</v>
      </c>
      <c r="I23" s="5" t="s">
        <v>172</v>
      </c>
      <c r="J23" s="7" t="n">
        <v>0.8</v>
      </c>
      <c r="K23" s="7" t="n">
        <v>0.2</v>
      </c>
      <c r="L23" s="5" t="s">
        <v>173</v>
      </c>
      <c r="M23" s="5" t="s">
        <v>174</v>
      </c>
      <c r="N23" s="8" t="n">
        <v>46753</v>
      </c>
      <c r="O23" s="8" t="n">
        <v>46843</v>
      </c>
      <c r="P23" s="4" t="s">
        <v>30</v>
      </c>
      <c r="Q23" s="5" t="s">
        <v>160</v>
      </c>
      <c r="R23" s="5"/>
      <c r="S23" s="5" t="s">
        <v>175</v>
      </c>
    </row>
    <row r="24" customFormat="false" ht="35.05" hidden="false" customHeight="false" outlineLevel="0" collapsed="false">
      <c r="A24" s="4" t="s">
        <v>176</v>
      </c>
      <c r="B24" s="5" t="s">
        <v>151</v>
      </c>
      <c r="C24" s="5" t="s">
        <v>152</v>
      </c>
      <c r="D24" s="10" t="s">
        <v>66</v>
      </c>
      <c r="E24" s="5" t="s">
        <v>177</v>
      </c>
      <c r="F24" s="5" t="s">
        <v>178</v>
      </c>
      <c r="G24" s="4" t="s">
        <v>51</v>
      </c>
      <c r="H24" s="5" t="s">
        <v>179</v>
      </c>
      <c r="I24" s="5" t="s">
        <v>180</v>
      </c>
      <c r="J24" s="7" t="n">
        <v>0.8</v>
      </c>
      <c r="K24" s="7" t="n">
        <v>0.2</v>
      </c>
      <c r="L24" s="5" t="s">
        <v>181</v>
      </c>
      <c r="M24" s="5" t="s">
        <v>182</v>
      </c>
      <c r="N24" s="8" t="n">
        <v>46844</v>
      </c>
      <c r="O24" s="8" t="n">
        <v>46934</v>
      </c>
      <c r="P24" s="4" t="s">
        <v>30</v>
      </c>
      <c r="Q24" s="5" t="s">
        <v>183</v>
      </c>
      <c r="R24" s="5"/>
      <c r="S24" s="5" t="s">
        <v>158</v>
      </c>
    </row>
    <row r="25" customFormat="false" ht="35.05" hidden="false" customHeight="false" outlineLevel="0" collapsed="false">
      <c r="A25" s="4" t="s">
        <v>184</v>
      </c>
      <c r="B25" s="5" t="s">
        <v>185</v>
      </c>
      <c r="C25" s="5" t="s">
        <v>186</v>
      </c>
      <c r="D25" s="6" t="s">
        <v>24</v>
      </c>
      <c r="E25" s="5" t="s">
        <v>187</v>
      </c>
      <c r="F25" s="5" t="s">
        <v>188</v>
      </c>
      <c r="G25" s="4" t="s">
        <v>27</v>
      </c>
      <c r="H25" s="5"/>
      <c r="I25" s="5"/>
      <c r="J25" s="7"/>
      <c r="K25" s="7"/>
      <c r="L25" s="5" t="s">
        <v>189</v>
      </c>
      <c r="M25" s="5" t="s">
        <v>190</v>
      </c>
      <c r="N25" s="8" t="n">
        <v>46478</v>
      </c>
      <c r="O25" s="8" t="n">
        <v>46535</v>
      </c>
      <c r="P25" s="4" t="s">
        <v>30</v>
      </c>
      <c r="Q25" s="5"/>
      <c r="R25" s="5" t="s">
        <v>191</v>
      </c>
      <c r="S25" s="5" t="s">
        <v>192</v>
      </c>
    </row>
    <row r="26" customFormat="false" ht="23.85" hidden="false" customHeight="false" outlineLevel="0" collapsed="false">
      <c r="A26" s="4" t="s">
        <v>193</v>
      </c>
      <c r="B26" s="5" t="s">
        <v>185</v>
      </c>
      <c r="C26" s="5" t="s">
        <v>186</v>
      </c>
      <c r="D26" s="6" t="s">
        <v>24</v>
      </c>
      <c r="E26" s="5" t="s">
        <v>194</v>
      </c>
      <c r="F26" s="5" t="s">
        <v>195</v>
      </c>
      <c r="G26" s="4" t="s">
        <v>27</v>
      </c>
      <c r="H26" s="5"/>
      <c r="I26" s="5"/>
      <c r="J26" s="7"/>
      <c r="K26" s="7"/>
      <c r="L26" s="5" t="s">
        <v>196</v>
      </c>
      <c r="M26" s="5" t="s">
        <v>197</v>
      </c>
      <c r="N26" s="8" t="n">
        <v>46478</v>
      </c>
      <c r="O26" s="8" t="n">
        <v>46535</v>
      </c>
      <c r="P26" s="4" t="s">
        <v>30</v>
      </c>
      <c r="Q26" s="5"/>
      <c r="R26" s="5"/>
      <c r="S26" s="5" t="s">
        <v>198</v>
      </c>
    </row>
    <row r="27" customFormat="false" ht="23.85" hidden="false" customHeight="false" outlineLevel="0" collapsed="false">
      <c r="A27" s="4" t="s">
        <v>199</v>
      </c>
      <c r="B27" s="5" t="s">
        <v>185</v>
      </c>
      <c r="C27" s="5" t="s">
        <v>186</v>
      </c>
      <c r="D27" s="9" t="s">
        <v>48</v>
      </c>
      <c r="E27" s="5" t="s">
        <v>200</v>
      </c>
      <c r="F27" s="5" t="s">
        <v>201</v>
      </c>
      <c r="G27" s="4" t="s">
        <v>51</v>
      </c>
      <c r="H27" s="5" t="s">
        <v>202</v>
      </c>
      <c r="I27" s="5" t="s">
        <v>203</v>
      </c>
      <c r="J27" s="7" t="n">
        <v>1</v>
      </c>
      <c r="K27" s="7" t="n">
        <v>0.1</v>
      </c>
      <c r="L27" s="5" t="s">
        <v>204</v>
      </c>
      <c r="M27" s="5" t="s">
        <v>205</v>
      </c>
      <c r="N27" s="8" t="n">
        <v>46539</v>
      </c>
      <c r="O27" s="8" t="n">
        <v>46598</v>
      </c>
      <c r="P27" s="4" t="s">
        <v>30</v>
      </c>
      <c r="Q27" s="5" t="s">
        <v>187</v>
      </c>
      <c r="R27" s="5"/>
      <c r="S27" s="5" t="s">
        <v>206</v>
      </c>
    </row>
    <row r="28" customFormat="false" ht="35.05" hidden="false" customHeight="false" outlineLevel="0" collapsed="false">
      <c r="A28" s="4" t="s">
        <v>207</v>
      </c>
      <c r="B28" s="5" t="s">
        <v>185</v>
      </c>
      <c r="C28" s="5" t="s">
        <v>186</v>
      </c>
      <c r="D28" s="9" t="s">
        <v>48</v>
      </c>
      <c r="E28" s="5" t="s">
        <v>208</v>
      </c>
      <c r="F28" s="5" t="s">
        <v>209</v>
      </c>
      <c r="G28" s="4" t="s">
        <v>51</v>
      </c>
      <c r="H28" s="5" t="s">
        <v>210</v>
      </c>
      <c r="I28" s="5" t="s">
        <v>211</v>
      </c>
      <c r="J28" s="7" t="n">
        <v>0.85</v>
      </c>
      <c r="K28" s="7" t="n">
        <v>0.15</v>
      </c>
      <c r="L28" s="5" t="s">
        <v>212</v>
      </c>
      <c r="M28" s="5" t="s">
        <v>213</v>
      </c>
      <c r="N28" s="8" t="n">
        <v>46692</v>
      </c>
      <c r="O28" s="8" t="n">
        <v>46843</v>
      </c>
      <c r="P28" s="4" t="s">
        <v>30</v>
      </c>
      <c r="Q28" s="5" t="s">
        <v>214</v>
      </c>
      <c r="R28" s="5"/>
      <c r="S28" s="5" t="s">
        <v>215</v>
      </c>
    </row>
    <row r="29" customFormat="false" ht="35.05" hidden="false" customHeight="false" outlineLevel="0" collapsed="false">
      <c r="A29" s="4" t="s">
        <v>216</v>
      </c>
      <c r="B29" s="5" t="s">
        <v>185</v>
      </c>
      <c r="C29" s="5" t="s">
        <v>186</v>
      </c>
      <c r="D29" s="10" t="s">
        <v>66</v>
      </c>
      <c r="E29" s="5" t="s">
        <v>217</v>
      </c>
      <c r="F29" s="5" t="s">
        <v>218</v>
      </c>
      <c r="G29" s="4" t="s">
        <v>51</v>
      </c>
      <c r="H29" s="5" t="s">
        <v>219</v>
      </c>
      <c r="I29" s="5" t="s">
        <v>220</v>
      </c>
      <c r="J29" s="7" t="n">
        <v>0.75</v>
      </c>
      <c r="K29" s="7" t="n">
        <v>0.25</v>
      </c>
      <c r="L29" s="5" t="s">
        <v>221</v>
      </c>
      <c r="M29" s="5" t="s">
        <v>222</v>
      </c>
      <c r="N29" s="8" t="n">
        <v>46844</v>
      </c>
      <c r="O29" s="8" t="n">
        <v>46934</v>
      </c>
      <c r="P29" s="4" t="s">
        <v>30</v>
      </c>
      <c r="Q29" s="5" t="s">
        <v>208</v>
      </c>
      <c r="R29" s="5"/>
      <c r="S29" s="5" t="s">
        <v>223</v>
      </c>
    </row>
    <row r="30" customFormat="false" ht="23.85" hidden="false" customHeight="false" outlineLevel="0" collapsed="false">
      <c r="A30" s="4" t="s">
        <v>224</v>
      </c>
      <c r="B30" s="5" t="s">
        <v>225</v>
      </c>
      <c r="C30" s="5" t="s">
        <v>226</v>
      </c>
      <c r="D30" s="6" t="s">
        <v>24</v>
      </c>
      <c r="E30" s="5" t="s">
        <v>227</v>
      </c>
      <c r="F30" s="5" t="s">
        <v>228</v>
      </c>
      <c r="G30" s="4" t="s">
        <v>27</v>
      </c>
      <c r="H30" s="5"/>
      <c r="I30" s="5"/>
      <c r="J30" s="7"/>
      <c r="K30" s="7"/>
      <c r="L30" s="5" t="s">
        <v>229</v>
      </c>
      <c r="M30" s="5" t="s">
        <v>230</v>
      </c>
      <c r="N30" s="8" t="n">
        <v>46447</v>
      </c>
      <c r="O30" s="8" t="n">
        <v>46507</v>
      </c>
      <c r="P30" s="4" t="s">
        <v>30</v>
      </c>
      <c r="Q30" s="5" t="s">
        <v>153</v>
      </c>
      <c r="R30" s="5" t="s">
        <v>231</v>
      </c>
      <c r="S30" s="5" t="s">
        <v>232</v>
      </c>
    </row>
    <row r="31" customFormat="false" ht="35.05" hidden="false" customHeight="false" outlineLevel="0" collapsed="false">
      <c r="A31" s="4" t="s">
        <v>233</v>
      </c>
      <c r="B31" s="5" t="s">
        <v>225</v>
      </c>
      <c r="C31" s="5" t="s">
        <v>226</v>
      </c>
      <c r="D31" s="6" t="s">
        <v>24</v>
      </c>
      <c r="E31" s="5" t="s">
        <v>234</v>
      </c>
      <c r="F31" s="5" t="s">
        <v>235</v>
      </c>
      <c r="G31" s="4" t="s">
        <v>27</v>
      </c>
      <c r="H31" s="5"/>
      <c r="I31" s="5"/>
      <c r="J31" s="7"/>
      <c r="K31" s="7"/>
      <c r="L31" s="5" t="s">
        <v>236</v>
      </c>
      <c r="M31" s="5" t="s">
        <v>237</v>
      </c>
      <c r="N31" s="8" t="n">
        <v>46510</v>
      </c>
      <c r="O31" s="8" t="n">
        <v>46568</v>
      </c>
      <c r="P31" s="4" t="s">
        <v>30</v>
      </c>
      <c r="Q31" s="5" t="s">
        <v>227</v>
      </c>
      <c r="R31" s="5"/>
      <c r="S31" s="5" t="s">
        <v>74</v>
      </c>
    </row>
    <row r="32" customFormat="false" ht="35.05" hidden="false" customHeight="false" outlineLevel="0" collapsed="false">
      <c r="A32" s="4" t="s">
        <v>238</v>
      </c>
      <c r="B32" s="5" t="s">
        <v>225</v>
      </c>
      <c r="C32" s="5" t="s">
        <v>226</v>
      </c>
      <c r="D32" s="9" t="s">
        <v>48</v>
      </c>
      <c r="E32" s="5" t="s">
        <v>239</v>
      </c>
      <c r="F32" s="5" t="s">
        <v>240</v>
      </c>
      <c r="G32" s="4" t="s">
        <v>51</v>
      </c>
      <c r="H32" s="5" t="s">
        <v>241</v>
      </c>
      <c r="I32" s="5" t="s">
        <v>242</v>
      </c>
      <c r="J32" s="7" t="n">
        <v>1</v>
      </c>
      <c r="K32" s="7" t="n">
        <v>0.1</v>
      </c>
      <c r="L32" s="5" t="s">
        <v>243</v>
      </c>
      <c r="M32" s="5" t="s">
        <v>244</v>
      </c>
      <c r="N32" s="8" t="n">
        <v>46478</v>
      </c>
      <c r="O32" s="8" t="n">
        <v>46568</v>
      </c>
      <c r="P32" s="4" t="s">
        <v>30</v>
      </c>
      <c r="Q32" s="5" t="s">
        <v>227</v>
      </c>
      <c r="R32" s="5"/>
      <c r="S32" s="5" t="s">
        <v>232</v>
      </c>
    </row>
    <row r="33" customFormat="false" ht="23.85" hidden="false" customHeight="false" outlineLevel="0" collapsed="false">
      <c r="A33" s="4" t="s">
        <v>245</v>
      </c>
      <c r="B33" s="5" t="s">
        <v>225</v>
      </c>
      <c r="C33" s="5" t="s">
        <v>226</v>
      </c>
      <c r="D33" s="11" t="s">
        <v>169</v>
      </c>
      <c r="E33" s="5" t="s">
        <v>246</v>
      </c>
      <c r="F33" s="5" t="s">
        <v>247</v>
      </c>
      <c r="G33" s="4" t="s">
        <v>51</v>
      </c>
      <c r="H33" s="5" t="s">
        <v>248</v>
      </c>
      <c r="I33" s="5" t="s">
        <v>249</v>
      </c>
      <c r="J33" s="7" t="n">
        <v>0.8</v>
      </c>
      <c r="K33" s="7" t="n">
        <v>0.2</v>
      </c>
      <c r="L33" s="5" t="s">
        <v>250</v>
      </c>
      <c r="M33" s="5" t="s">
        <v>251</v>
      </c>
      <c r="N33" s="8" t="n">
        <v>46692</v>
      </c>
      <c r="O33" s="8" t="n">
        <v>46783</v>
      </c>
      <c r="P33" s="4" t="s">
        <v>30</v>
      </c>
      <c r="Q33" s="5" t="s">
        <v>239</v>
      </c>
      <c r="R33" s="5"/>
      <c r="S33" s="5" t="s">
        <v>175</v>
      </c>
    </row>
    <row r="34" customFormat="false" ht="35.05" hidden="false" customHeight="false" outlineLevel="0" collapsed="false">
      <c r="A34" s="4" t="s">
        <v>252</v>
      </c>
      <c r="B34" s="5" t="s">
        <v>225</v>
      </c>
      <c r="C34" s="5" t="s">
        <v>226</v>
      </c>
      <c r="D34" s="10" t="s">
        <v>66</v>
      </c>
      <c r="E34" s="5" t="s">
        <v>253</v>
      </c>
      <c r="F34" s="5" t="s">
        <v>254</v>
      </c>
      <c r="G34" s="4" t="s">
        <v>51</v>
      </c>
      <c r="H34" s="5" t="s">
        <v>179</v>
      </c>
      <c r="I34" s="5" t="s">
        <v>255</v>
      </c>
      <c r="J34" s="7" t="n">
        <v>0.75</v>
      </c>
      <c r="K34" s="7" t="n">
        <v>0.25</v>
      </c>
      <c r="L34" s="5" t="s">
        <v>256</v>
      </c>
      <c r="M34" s="5" t="s">
        <v>257</v>
      </c>
      <c r="N34" s="8" t="n">
        <v>46753</v>
      </c>
      <c r="O34" s="8" t="n">
        <v>46934</v>
      </c>
      <c r="P34" s="4" t="s">
        <v>30</v>
      </c>
      <c r="Q34" s="5" t="s">
        <v>258</v>
      </c>
      <c r="R34" s="5"/>
      <c r="S34" s="5" t="s">
        <v>74</v>
      </c>
    </row>
  </sheetData>
  <autoFilter ref="A4:S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15" hidden="false" customHeight="false" outlineLevel="0" collapsed="false">
      <c r="A4" s="3" t="s">
        <v>261</v>
      </c>
      <c r="B4" s="3" t="s">
        <v>6</v>
      </c>
      <c r="C4" s="3" t="s">
        <v>262</v>
      </c>
      <c r="D4" s="3" t="s">
        <v>263</v>
      </c>
      <c r="E4" s="3" t="s">
        <v>24</v>
      </c>
      <c r="F4" s="3" t="s">
        <v>48</v>
      </c>
      <c r="G4" s="3" t="s">
        <v>66</v>
      </c>
      <c r="H4" s="3" t="s">
        <v>169</v>
      </c>
      <c r="I4" s="3" t="s">
        <v>15</v>
      </c>
      <c r="J4" s="3" t="s">
        <v>264</v>
      </c>
    </row>
    <row r="5" customFormat="false" ht="15" hidden="false" customHeight="false" outlineLevel="0" collapsed="false">
      <c r="A5" s="4" t="s">
        <v>265</v>
      </c>
      <c r="B5" s="5" t="s">
        <v>266</v>
      </c>
      <c r="C5" s="5" t="s">
        <v>23</v>
      </c>
      <c r="D5" s="4" t="n">
        <f aca="false">COUNTIF(Intervenciones!$B$5:$B$34,"P2R-01 · Gestión de la demanda")</f>
        <v>7</v>
      </c>
      <c r="E5" s="4" t="n">
        <f aca="false">COUNTIFS(Intervenciones!$B$5:$B$34,"P2R-01 · Gestión de la demanda",Intervenciones!$D$5:$D$34,"Negocio")</f>
        <v>3</v>
      </c>
      <c r="F5" s="4" t="n">
        <f aca="false">COUNTIFS(Intervenciones!$B$5:$B$34,"P2R-01 · Gestión de la demanda",Intervenciones!$D$5:$D$34,"Automatización")</f>
        <v>2</v>
      </c>
      <c r="G5" s="4" t="n">
        <f aca="false">COUNTIFS(Intervenciones!$B$5:$B$34,"P2R-01 · Gestión de la demanda",Intervenciones!$D$5:$D$34,"Agente")</f>
        <v>2</v>
      </c>
      <c r="H5" s="4" t="n">
        <f aca="false">COUNTIFS(Intervenciones!$B$5:$B$34,"P2R-01 · Gestión de la demanda",Intervenciones!$D$5:$D$34,"Consulta")</f>
        <v>0</v>
      </c>
      <c r="I5" s="8" t="n">
        <f aca="false">_xlfn.MINIFS(Intervenciones!$N$5:$N$34,Intervenciones!$B$5:$B$34,"P2R-01 · Gestión de la demanda")</f>
        <v>46419</v>
      </c>
      <c r="J5" s="8" t="n">
        <f aca="false">_xlfn.MAXIFS(Intervenciones!$O$5:$O$34,Intervenciones!$B$5:$B$34,"P2R-01 · Gestión de la demanda")</f>
        <v>46934</v>
      </c>
    </row>
    <row r="6" customFormat="false" ht="15" hidden="false" customHeight="false" outlineLevel="0" collapsed="false">
      <c r="A6" s="4" t="s">
        <v>267</v>
      </c>
      <c r="B6" s="5" t="s">
        <v>268</v>
      </c>
      <c r="C6" s="5" t="s">
        <v>85</v>
      </c>
      <c r="D6" s="4" t="n">
        <f aca="false">COUNTIF(Intervenciones!$B$5:$B$34,"P2R-02 · S&amp;OP y plan de capacidad")</f>
        <v>5</v>
      </c>
      <c r="E6" s="4" t="n">
        <f aca="false">COUNTIFS(Intervenciones!$B$5:$B$34,"P2R-02 · S&amp;OP y plan de capacidad",Intervenciones!$D$5:$D$34,"Negocio")</f>
        <v>2</v>
      </c>
      <c r="F6" s="4" t="n">
        <f aca="false">COUNTIFS(Intervenciones!$B$5:$B$34,"P2R-02 · S&amp;OP y plan de capacidad",Intervenciones!$D$5:$D$34,"Automatización")</f>
        <v>2</v>
      </c>
      <c r="G6" s="4" t="n">
        <f aca="false">COUNTIFS(Intervenciones!$B$5:$B$34,"P2R-02 · S&amp;OP y plan de capacidad",Intervenciones!$D$5:$D$34,"Agente")</f>
        <v>1</v>
      </c>
      <c r="H6" s="4" t="n">
        <f aca="false">COUNTIFS(Intervenciones!$B$5:$B$34,"P2R-02 · S&amp;OP y plan de capacidad",Intervenciones!$D$5:$D$34,"Consulta")</f>
        <v>0</v>
      </c>
      <c r="I6" s="8" t="n">
        <f aca="false">_xlfn.MINIFS(Intervenciones!$N$5:$N$34,Intervenciones!$B$5:$B$34,"P2R-02 · S&amp;OP y plan de capacidad")</f>
        <v>46478</v>
      </c>
      <c r="J6" s="8" t="n">
        <f aca="false">_xlfn.MAXIFS(Intervenciones!$O$5:$O$34,Intervenciones!$B$5:$B$34,"P2R-02 · S&amp;OP y plan de capacidad")</f>
        <v>46843</v>
      </c>
    </row>
    <row r="7" customFormat="false" ht="15" hidden="false" customHeight="false" outlineLevel="0" collapsed="false">
      <c r="A7" s="4" t="s">
        <v>269</v>
      </c>
      <c r="B7" s="5" t="s">
        <v>270</v>
      </c>
      <c r="C7" s="5" t="s">
        <v>125</v>
      </c>
      <c r="D7" s="4" t="n">
        <f aca="false">COUNTIF(Intervenciones!$B$5:$B$34,"P2R-03 · Política de inventario por segmento")</f>
        <v>4</v>
      </c>
      <c r="E7" s="4" t="n">
        <f aca="false">COUNTIFS(Intervenciones!$B$5:$B$34,"P2R-03 · Política de inventario por segmento",Intervenciones!$D$5:$D$34,"Negocio")</f>
        <v>2</v>
      </c>
      <c r="F7" s="4" t="n">
        <f aca="false">COUNTIFS(Intervenciones!$B$5:$B$34,"P2R-03 · Política de inventario por segmento",Intervenciones!$D$5:$D$34,"Automatización")</f>
        <v>1</v>
      </c>
      <c r="G7" s="4" t="n">
        <f aca="false">COUNTIFS(Intervenciones!$B$5:$B$34,"P2R-03 · Política de inventario por segmento",Intervenciones!$D$5:$D$34,"Agente")</f>
        <v>1</v>
      </c>
      <c r="H7" s="4" t="n">
        <f aca="false">COUNTIFS(Intervenciones!$B$5:$B$34,"P2R-03 · Política de inventario por segmento",Intervenciones!$D$5:$D$34,"Consulta")</f>
        <v>0</v>
      </c>
      <c r="I7" s="8" t="n">
        <f aca="false">_xlfn.MINIFS(Intervenciones!$N$5:$N$34,Intervenciones!$B$5:$B$34,"P2R-03 · Política de inventario por segmento")</f>
        <v>46447</v>
      </c>
      <c r="J7" s="8" t="n">
        <f aca="false">_xlfn.MAXIFS(Intervenciones!$O$5:$O$34,Intervenciones!$B$5:$B$34,"P2R-03 · Política de inventario por segmento")</f>
        <v>46873</v>
      </c>
    </row>
    <row r="8" customFormat="false" ht="15" hidden="false" customHeight="false" outlineLevel="0" collapsed="false">
      <c r="A8" s="4" t="s">
        <v>271</v>
      </c>
      <c r="B8" s="5" t="s">
        <v>272</v>
      </c>
      <c r="C8" s="5" t="s">
        <v>152</v>
      </c>
      <c r="D8" s="4" t="n">
        <f aca="false">COUNTIF(Intervenciones!$B$5:$B$34,"P2R-04 · Promesa de fecha fiable")</f>
        <v>4</v>
      </c>
      <c r="E8" s="4" t="n">
        <f aca="false">COUNTIFS(Intervenciones!$B$5:$B$34,"P2R-04 · Promesa de fecha fiable",Intervenciones!$D$5:$D$34,"Negocio")</f>
        <v>1</v>
      </c>
      <c r="F8" s="4" t="n">
        <f aca="false">COUNTIFS(Intervenciones!$B$5:$B$34,"P2R-04 · Promesa de fecha fiable",Intervenciones!$D$5:$D$34,"Automatización")</f>
        <v>1</v>
      </c>
      <c r="G8" s="4" t="n">
        <f aca="false">COUNTIFS(Intervenciones!$B$5:$B$34,"P2R-04 · Promesa de fecha fiable",Intervenciones!$D$5:$D$34,"Agente")</f>
        <v>1</v>
      </c>
      <c r="H8" s="4" t="n">
        <f aca="false">COUNTIFS(Intervenciones!$B$5:$B$34,"P2R-04 · Promesa de fecha fiable",Intervenciones!$D$5:$D$34,"Consulta")</f>
        <v>1</v>
      </c>
      <c r="I8" s="8" t="n">
        <f aca="false">_xlfn.MINIFS(Intervenciones!$N$5:$N$34,Intervenciones!$B$5:$B$34,"P2R-04 · Promesa de fecha fiable")</f>
        <v>46447</v>
      </c>
      <c r="J8" s="8" t="n">
        <f aca="false">_xlfn.MAXIFS(Intervenciones!$O$5:$O$34,Intervenciones!$B$5:$B$34,"P2R-04 · Promesa de fecha fiable")</f>
        <v>46934</v>
      </c>
    </row>
    <row r="9" customFormat="false" ht="15" hidden="false" customHeight="false" outlineLevel="0" collapsed="false">
      <c r="A9" s="4" t="s">
        <v>273</v>
      </c>
      <c r="B9" s="5" t="s">
        <v>274</v>
      </c>
      <c r="C9" s="5" t="s">
        <v>186</v>
      </c>
      <c r="D9" s="4" t="n">
        <f aca="false">COUNTIF(Intervenciones!$B$5:$B$34,"P2R-06 · Programación estable y optimizada")</f>
        <v>5</v>
      </c>
      <c r="E9" s="4" t="n">
        <f aca="false">COUNTIFS(Intervenciones!$B$5:$B$34,"P2R-06 · Programación estable y optimizada",Intervenciones!$D$5:$D$34,"Negocio")</f>
        <v>2</v>
      </c>
      <c r="F9" s="4" t="n">
        <f aca="false">COUNTIFS(Intervenciones!$B$5:$B$34,"P2R-06 · Programación estable y optimizada",Intervenciones!$D$5:$D$34,"Automatización")</f>
        <v>2</v>
      </c>
      <c r="G9" s="4" t="n">
        <f aca="false">COUNTIFS(Intervenciones!$B$5:$B$34,"P2R-06 · Programación estable y optimizada",Intervenciones!$D$5:$D$34,"Agente")</f>
        <v>1</v>
      </c>
      <c r="H9" s="4" t="n">
        <f aca="false">COUNTIFS(Intervenciones!$B$5:$B$34,"P2R-06 · Programación estable y optimizada",Intervenciones!$D$5:$D$34,"Consulta")</f>
        <v>0</v>
      </c>
      <c r="I9" s="8" t="n">
        <f aca="false">_xlfn.MINIFS(Intervenciones!$N$5:$N$34,Intervenciones!$B$5:$B$34,"P2R-06 · Programación estable y optimizada")</f>
        <v>46478</v>
      </c>
      <c r="J9" s="8" t="n">
        <f aca="false">_xlfn.MAXIFS(Intervenciones!$O$5:$O$34,Intervenciones!$B$5:$B$34,"P2R-06 · Programación estable y optimizada")</f>
        <v>46934</v>
      </c>
    </row>
    <row r="10" customFormat="false" ht="15" hidden="false" customHeight="false" outlineLevel="0" collapsed="false">
      <c r="A10" s="4" t="s">
        <v>275</v>
      </c>
      <c r="B10" s="5" t="s">
        <v>276</v>
      </c>
      <c r="C10" s="5" t="s">
        <v>226</v>
      </c>
      <c r="D10" s="4" t="n">
        <f aca="false">COUNTIF(Intervenciones!$B$5:$B$34,"P2R-08 · Control del servicio y mejora continua")</f>
        <v>5</v>
      </c>
      <c r="E10" s="4" t="n">
        <f aca="false">COUNTIFS(Intervenciones!$B$5:$B$34,"P2R-08 · Control del servicio y mejora continua",Intervenciones!$D$5:$D$34,"Negocio")</f>
        <v>2</v>
      </c>
      <c r="F10" s="4" t="n">
        <f aca="false">COUNTIFS(Intervenciones!$B$5:$B$34,"P2R-08 · Control del servicio y mejora continua",Intervenciones!$D$5:$D$34,"Automatización")</f>
        <v>1</v>
      </c>
      <c r="G10" s="4" t="n">
        <f aca="false">COUNTIFS(Intervenciones!$B$5:$B$34,"P2R-08 · Control del servicio y mejora continua",Intervenciones!$D$5:$D$34,"Agente")</f>
        <v>1</v>
      </c>
      <c r="H10" s="4" t="n">
        <f aca="false">COUNTIFS(Intervenciones!$B$5:$B$34,"P2R-08 · Control del servicio y mejora continua",Intervenciones!$D$5:$D$34,"Consulta")</f>
        <v>1</v>
      </c>
      <c r="I10" s="8" t="n">
        <f aca="false">_xlfn.MINIFS(Intervenciones!$N$5:$N$34,Intervenciones!$B$5:$B$34,"P2R-08 · Control del servicio y mejora continua")</f>
        <v>46447</v>
      </c>
      <c r="J10" s="8" t="n">
        <f aca="false">_xlfn.MAXIFS(Intervenciones!$O$5:$O$34,Intervenciones!$B$5:$B$34,"P2R-08 · Control del servicio y mejora continua")</f>
        <v>46934</v>
      </c>
    </row>
    <row r="11" customFormat="false" ht="15" hidden="false" customHeight="false" outlineLevel="0" collapsed="false">
      <c r="A11" s="12" t="s">
        <v>277</v>
      </c>
      <c r="D11" s="13" t="n">
        <f aca="false">SUM(D5:D10)</f>
        <v>30</v>
      </c>
      <c r="E11" s="13" t="n">
        <f aca="false">SUM(E5:E10)</f>
        <v>12</v>
      </c>
      <c r="F11" s="13" t="n">
        <f aca="false">SUM(F5:F10)</f>
        <v>9</v>
      </c>
      <c r="G11" s="13" t="n">
        <f aca="false">SUM(G5:G10)</f>
        <v>7</v>
      </c>
      <c r="H11" s="13" t="n">
        <f aca="false">SUM(H5:H10)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3" t="s">
        <v>280</v>
      </c>
      <c r="B4" s="3" t="s">
        <v>281</v>
      </c>
      <c r="C4" s="3" t="s">
        <v>282</v>
      </c>
      <c r="D4" s="3" t="s">
        <v>283</v>
      </c>
    </row>
    <row r="5" customFormat="false" ht="23.85" hidden="false" customHeight="false" outlineLevel="0" collapsed="false">
      <c r="A5" s="5" t="s">
        <v>284</v>
      </c>
      <c r="B5" s="5" t="s">
        <v>285</v>
      </c>
      <c r="C5" s="14" t="n">
        <f aca="false">SUMPRODUCT(--ISNUMBER(SEARCH(B5&amp;" → ",Intervenciones!$H$5:$H$34)))</f>
        <v>2</v>
      </c>
      <c r="D5" s="5" t="s">
        <v>286</v>
      </c>
    </row>
    <row r="6" customFormat="false" ht="15" hidden="false" customHeight="false" outlineLevel="0" collapsed="false">
      <c r="A6" s="5" t="s">
        <v>284</v>
      </c>
      <c r="B6" s="5" t="s">
        <v>287</v>
      </c>
      <c r="C6" s="14" t="n">
        <f aca="false">SUMPRODUCT(--ISNUMBER(SEARCH(B6&amp;" → ",Intervenciones!$H$5:$H$34)))</f>
        <v>1</v>
      </c>
      <c r="D6" s="5" t="s">
        <v>288</v>
      </c>
    </row>
    <row r="7" customFormat="false" ht="15" hidden="false" customHeight="false" outlineLevel="0" collapsed="false">
      <c r="A7" s="5" t="s">
        <v>284</v>
      </c>
      <c r="B7" s="5" t="s">
        <v>289</v>
      </c>
      <c r="C7" s="14" t="n">
        <f aca="false">SUMPRODUCT(--ISNUMBER(SEARCH(B7&amp;" → ",Intervenciones!$H$5:$H$34)))</f>
        <v>1</v>
      </c>
      <c r="D7" s="5" t="s">
        <v>288</v>
      </c>
    </row>
    <row r="8" customFormat="false" ht="15" hidden="false" customHeight="false" outlineLevel="0" collapsed="false">
      <c r="A8" s="5" t="s">
        <v>284</v>
      </c>
      <c r="B8" s="5" t="s">
        <v>290</v>
      </c>
      <c r="C8" s="14" t="n">
        <f aca="false">SUMPRODUCT(--ISNUMBER(SEARCH(B8&amp;" → ",Intervenciones!$H$5:$H$34)))</f>
        <v>1</v>
      </c>
      <c r="D8" s="5" t="s">
        <v>291</v>
      </c>
    </row>
    <row r="9" customFormat="false" ht="23.85" hidden="false" customHeight="false" outlineLevel="0" collapsed="false">
      <c r="A9" s="5" t="s">
        <v>292</v>
      </c>
      <c r="B9" s="5" t="s">
        <v>293</v>
      </c>
      <c r="C9" s="14" t="n">
        <f aca="false">SUMPRODUCT(--ISNUMBER(SEARCH(B9&amp;" → ",Intervenciones!$H$5:$H$34)))</f>
        <v>2</v>
      </c>
      <c r="D9" s="5" t="s">
        <v>294</v>
      </c>
    </row>
    <row r="10" customFormat="false" ht="15" hidden="false" customHeight="false" outlineLevel="0" collapsed="false">
      <c r="A10" s="5" t="s">
        <v>292</v>
      </c>
      <c r="B10" s="5" t="s">
        <v>295</v>
      </c>
      <c r="C10" s="14" t="n">
        <f aca="false">SUMPRODUCT(--ISNUMBER(SEARCH(B10&amp;" → ",Intervenciones!$H$5:$H$34)))</f>
        <v>1</v>
      </c>
      <c r="D10" s="5" t="s">
        <v>296</v>
      </c>
    </row>
    <row r="11" customFormat="false" ht="23.85" hidden="false" customHeight="false" outlineLevel="0" collapsed="false">
      <c r="A11" s="5" t="s">
        <v>292</v>
      </c>
      <c r="B11" s="5" t="s">
        <v>297</v>
      </c>
      <c r="C11" s="14" t="n">
        <f aca="false">SUMPRODUCT(--ISNUMBER(SEARCH(B11&amp;" → ",Intervenciones!$H$5:$H$34)))</f>
        <v>2</v>
      </c>
      <c r="D11" s="5" t="s">
        <v>298</v>
      </c>
    </row>
    <row r="12" customFormat="false" ht="15" hidden="false" customHeight="false" outlineLevel="0" collapsed="false">
      <c r="A12" s="5" t="s">
        <v>299</v>
      </c>
      <c r="B12" s="5" t="s">
        <v>300</v>
      </c>
      <c r="C12" s="14" t="n">
        <f aca="false">SUMPRODUCT(--ISNUMBER(SEARCH(B12&amp;" → ",Intervenciones!$H$5:$H$34)))</f>
        <v>0</v>
      </c>
      <c r="D12" s="5"/>
    </row>
    <row r="13" customFormat="false" ht="15" hidden="false" customHeight="false" outlineLevel="0" collapsed="false">
      <c r="A13" s="5" t="s">
        <v>299</v>
      </c>
      <c r="B13" s="5" t="s">
        <v>301</v>
      </c>
      <c r="C13" s="14" t="n">
        <f aca="false">SUMPRODUCT(--ISNUMBER(SEARCH(B13&amp;" → ",Intervenciones!$H$5:$H$34)))</f>
        <v>0</v>
      </c>
      <c r="D13" s="5"/>
    </row>
    <row r="14" customFormat="false" ht="15" hidden="false" customHeight="false" outlineLevel="0" collapsed="false">
      <c r="A14" s="5" t="s">
        <v>299</v>
      </c>
      <c r="B14" s="5" t="s">
        <v>302</v>
      </c>
      <c r="C14" s="14" t="n">
        <f aca="false">SUMPRODUCT(--ISNUMBER(SEARCH(B14&amp;" → ",Intervenciones!$H$5:$H$34)))</f>
        <v>0</v>
      </c>
      <c r="D14" s="5"/>
    </row>
    <row r="15" customFormat="false" ht="15" hidden="false" customHeight="false" outlineLevel="0" collapsed="false">
      <c r="A15" s="5" t="s">
        <v>303</v>
      </c>
      <c r="B15" s="5" t="s">
        <v>304</v>
      </c>
      <c r="C15" s="14" t="n">
        <f aca="false">SUMPRODUCT(--ISNUMBER(SEARCH(B15&amp;" → ",Intervenciones!$H$5:$H$34)))</f>
        <v>1</v>
      </c>
      <c r="D15" s="5" t="s">
        <v>305</v>
      </c>
    </row>
    <row r="16" customFormat="false" ht="23.85" hidden="false" customHeight="false" outlineLevel="0" collapsed="false">
      <c r="A16" s="5" t="s">
        <v>303</v>
      </c>
      <c r="B16" s="5" t="s">
        <v>306</v>
      </c>
      <c r="C16" s="14" t="n">
        <f aca="false">SUMPRODUCT(--ISNUMBER(SEARCH(B16&amp;" → ",Intervenciones!$H$5:$H$34)))</f>
        <v>2</v>
      </c>
      <c r="D16" s="5" t="s">
        <v>307</v>
      </c>
    </row>
    <row r="17" customFormat="false" ht="15" hidden="false" customHeight="false" outlineLevel="0" collapsed="false">
      <c r="A17" s="5" t="s">
        <v>303</v>
      </c>
      <c r="B17" s="5" t="s">
        <v>308</v>
      </c>
      <c r="C17" s="14" t="n">
        <f aca="false">SUMPRODUCT(--ISNUMBER(SEARCH(B17&amp;" → ",Intervenciones!$H$5:$H$34)))</f>
        <v>1</v>
      </c>
      <c r="D17" s="5" t="s">
        <v>309</v>
      </c>
    </row>
    <row r="18" customFormat="false" ht="15" hidden="false" customHeight="false" outlineLevel="0" collapsed="false">
      <c r="A18" s="5" t="s">
        <v>310</v>
      </c>
      <c r="B18" s="5" t="s">
        <v>311</v>
      </c>
      <c r="C18" s="14" t="n">
        <f aca="false">SUMPRODUCT(--ISNUMBER(SEARCH(B18&amp;" → ",Intervenciones!$H$5:$H$34)))</f>
        <v>0</v>
      </c>
      <c r="D18" s="5"/>
    </row>
    <row r="19" customFormat="false" ht="15" hidden="false" customHeight="false" outlineLevel="0" collapsed="false">
      <c r="A19" s="5" t="s">
        <v>310</v>
      </c>
      <c r="B19" s="5" t="s">
        <v>312</v>
      </c>
      <c r="C19" s="14" t="n">
        <f aca="false">SUMPRODUCT(--ISNUMBER(SEARCH(B19&amp;" → ",Intervenciones!$H$5:$H$34)))</f>
        <v>0</v>
      </c>
      <c r="D19" s="5"/>
    </row>
    <row r="20" customFormat="false" ht="23.85" hidden="false" customHeight="false" outlineLevel="0" collapsed="false">
      <c r="A20" s="5" t="s">
        <v>313</v>
      </c>
      <c r="B20" s="5" t="s">
        <v>314</v>
      </c>
      <c r="C20" s="14" t="n">
        <f aca="false">SUMPRODUCT(--ISNUMBER(SEARCH(B20&amp;" → ",Intervenciones!$H$5:$H$34)))</f>
        <v>2</v>
      </c>
      <c r="D20" s="5" t="s">
        <v>315</v>
      </c>
    </row>
    <row r="21" customFormat="false" ht="15" hidden="false" customHeight="false" outlineLevel="0" collapsed="false">
      <c r="A21" s="5" t="s">
        <v>313</v>
      </c>
      <c r="B21" s="5" t="s">
        <v>316</v>
      </c>
      <c r="C21" s="14" t="n">
        <f aca="false">SUMPRODUCT(--ISNUMBER(SEARCH(B21&amp;" → ",Intervenciones!$H$5:$H$34)))</f>
        <v>1</v>
      </c>
      <c r="D21" s="5" t="s">
        <v>317</v>
      </c>
    </row>
    <row r="22" customFormat="false" ht="23.85" hidden="false" customHeight="false" outlineLevel="0" collapsed="false">
      <c r="A22" s="5" t="s">
        <v>313</v>
      </c>
      <c r="B22" s="5" t="s">
        <v>318</v>
      </c>
      <c r="C22" s="14" t="n">
        <f aca="false">SUMPRODUCT(--ISNUMBER(SEARCH(B22&amp;" → ",Intervenciones!$H$5:$H$34)))</f>
        <v>2</v>
      </c>
      <c r="D22" s="5" t="s">
        <v>319</v>
      </c>
    </row>
    <row r="23" customFormat="false" ht="15" hidden="false" customHeight="false" outlineLevel="0" collapsed="false">
      <c r="A23" s="5" t="s">
        <v>320</v>
      </c>
      <c r="B23" s="5" t="s">
        <v>321</v>
      </c>
      <c r="C23" s="14" t="n">
        <f aca="false">SUMPRODUCT(--ISNUMBER(SEARCH(B23&amp;" → ",Intervenciones!$H$5:$H$34)))</f>
        <v>1</v>
      </c>
      <c r="D23" s="5" t="s">
        <v>322</v>
      </c>
    </row>
  </sheetData>
  <conditionalFormatting sqref="A5:D23">
    <cfRule type="expression" priority="2" aboveAverage="0" equalAverage="0" bottom="0" percent="0" rank="0" text="" dxfId="7">
      <formula>$C5=0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2026-10-22T10:34:32Z</dcterms:created>
  <dc:creator>openpyxl</dc:creator>
  <dc:description/>
  <dc:language>en-US</dc:language>
  <cp:lastModifiedBy/>
  <dcterms:modified xsi:type="dcterms:W3CDTF">2026-10-22T10:34:32Z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