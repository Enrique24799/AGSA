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Hallazgos" sheetId="2" state="visible" r:id="rId4"/>
    <sheet name="Palancas" sheetId="3" state="visible" r:id="rId5"/>
    <sheet name="Relación" sheetId="4" state="visible" r:id="rId6"/>
    <sheet name="Otros procesos" sheetId="5" state="visible" r:id="rId7"/>
    <sheet name="Ondupet" sheetId="6" state="visible" r:id="rId8"/>
    <sheet name="Resumen" sheetId="7" state="visible" r:id="rId9"/>
    <sheet name="Listas" sheetId="8" state="visible" r:id="rId10"/>
  </sheets>
  <definedNames>
    <definedName function="false" hidden="true" localSheetId="1" name="_xlnm._FilterDatabase" vbProcedure="false">Hallazgos!$A$4:$K$48</definedName>
    <definedName function="false" hidden="true" localSheetId="4" name="_xlnm._FilterDatabase" vbProcedure="false">'Otros procesos'!$A$4:$I$9</definedName>
    <definedName function="false" hidden="true" localSheetId="2" name="_xlnm._FilterDatabase" vbProcedure="false">Palancas!$A$4:$J$31</definedName>
    <definedName function="false" hidden="true" localSheetId="3" name="_xlnm._FilterDatabase" vbProcedure="false">Relación!$A$4:$E$53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<sst xmlns="http://schemas.openxmlformats.org/spreadsheetml/2006/main" count="962" uniqueCount="451">
  <si>
    <t xml:space="preserve">Maestro de hallazgos y palancas · Plan to Release (P2R)</t>
  </si>
  <si>
    <t xml:space="preserve">Catálogo genérico para cualquier empresa del grupo · 16/10/2026</t>
  </si>
  <si>
    <t xml:space="preserve">Hojas</t>
  </si>
  <si>
    <t xml:space="preserve">Hallazgos</t>
  </si>
  <si>
    <t xml:space="preserve">44 hallazgos genéricos por fase, con familia, naturaleza y métrica.</t>
  </si>
  <si>
    <t xml:space="preserve">Palancas</t>
  </si>
  <si>
    <t xml:space="preserve">27 palancas con su tipo, los hallazgos que resuelven, KPI e intervención tipo.</t>
  </si>
  <si>
    <t xml:space="preserve">Relación</t>
  </si>
  <si>
    <t xml:space="preserve">Una fila por par palanca–hallazgo, lista para importar.</t>
  </si>
  <si>
    <t xml:space="preserve">Otros procesos</t>
  </si>
  <si>
    <t xml:space="preserve">Hallazgos que se detectan en P2R pero se arreglan en R2M, P2P u O2C.</t>
  </si>
  <si>
    <t xml:space="preserve">Ondupet</t>
  </si>
  <si>
    <t xml:space="preserve">Dónde cae cada hallazgo y palanca ya creados en la celda P2R × Ondupet.</t>
  </si>
  <si>
    <t xml:space="preserve">Resumen</t>
  </si>
  <si>
    <t xml:space="preserve">Recuentos por fase, familia, naturaleza y tipo, y controles de calidad.</t>
  </si>
  <si>
    <t xml:space="preserve">Listas</t>
  </si>
  <si>
    <t xml:space="preserve">Valores permitidos de los desplegables. Si cambias una lista, cambia aquí.</t>
  </si>
  <si>
    <t xml:space="preserve">Familia</t>
  </si>
  <si>
    <t xml:space="preserve">Ineficiencia (coste)</t>
  </si>
  <si>
    <t xml:space="preserve">Cuesta dinero hoy: horas, stock, horas de línea, sobrecostes.</t>
  </si>
  <si>
    <t xml:space="preserve">Oportunidad (ingreso expuesto)</t>
  </si>
  <si>
    <t xml:space="preserve">Pone en riesgo una venta. No significa «oportunidad de mejora».</t>
  </si>
  <si>
    <t xml:space="preserve">Naturaleza</t>
  </si>
  <si>
    <t xml:space="preserve">Esfuerzo (ya contado dentro de personas)</t>
  </si>
  <si>
    <t xml:space="preserve">Horas de personas. Libera horas, pero no suma € nuevos: ya están en el coste de personas.</t>
  </si>
  <si>
    <t xml:space="preserve">Fuga de P&amp;L</t>
  </si>
  <si>
    <t xml:space="preserve">Sobrecostes y pérdidas directas: urgencias, horas extra, penalizaciones, obsolescencia.</t>
  </si>
  <si>
    <t xml:space="preserve">Circulante × CMPC</t>
  </si>
  <si>
    <t xml:space="preserve">Stock o necesidades de más, valorados al coste del capital.</t>
  </si>
  <si>
    <t xml:space="preserve">Transformación (horas de línea, mermas)</t>
  </si>
  <si>
    <t xml:space="preserve">Horas de línea perdidas en cambios o paradas, y mermas.</t>
  </si>
  <si>
    <t xml:space="preserve">Ingreso expuesto</t>
  </si>
  <si>
    <t xml:space="preserve">Solo para Oportunidad. Si la app ofrece otra naturaleza para Oportunidad, cámbiala en Listas.</t>
  </si>
  <si>
    <t xml:space="preserve">Tipos de palanca</t>
  </si>
  <si>
    <t xml:space="preserve">Política</t>
  </si>
  <si>
    <t xml:space="preserve">Regla o forma de trabajar, sin desarrollo.</t>
  </si>
  <si>
    <t xml:space="preserve">Dato</t>
  </si>
  <si>
    <t xml:space="preserve">Corregir o mantener datos.</t>
  </si>
  <si>
    <t xml:space="preserve">Auto</t>
  </si>
  <si>
    <t xml:space="preserve">Regla, cálculo o integración, sin IA.</t>
  </si>
  <si>
    <t xml:space="preserve">Algoritmo</t>
  </si>
  <si>
    <t xml:space="preserve">Optimizador (secuencia, combinación).</t>
  </si>
  <si>
    <t xml:space="preserve">IA</t>
  </si>
  <si>
    <t xml:space="preserve">Agente que propone; la persona aprueba.</t>
  </si>
  <si>
    <t xml:space="preserve">Consulta</t>
  </si>
  <si>
    <t xml:space="preserve">Copiloto que solo lee datos y responde.</t>
  </si>
  <si>
    <t xml:space="preserve">Eliminar</t>
  </si>
  <si>
    <t xml:space="preserve">El paso desaparece.</t>
  </si>
  <si>
    <t xml:space="preserve">Sistema</t>
  </si>
  <si>
    <t xml:space="preserve">Cambio de herramienta o integración entre sistemas.</t>
  </si>
  <si>
    <t xml:space="preserve">Evoluciona a IA = Sí</t>
  </si>
  <si>
    <t xml:space="preserve">Se implanta primero como regla y después puede pasar a agente.</t>
  </si>
  <si>
    <t xml:space="preserve">Reglas de uso</t>
  </si>
  <si>
    <t xml:space="preserve">Anclaje</t>
  </si>
  <si>
    <t xml:space="preserve">En el maestro solo va la fase. El paso concreto se elige al usar el hallazgo en cada celda.</t>
  </si>
  <si>
    <t xml:space="preserve">Cuantificación</t>
  </si>
  <si>
    <t xml:space="preserve">En el maestro solo va la métrica. El valor y el tipo de piso se ponen en cada celda.</t>
  </si>
  <si>
    <t xml:space="preserve">Ingreso una vez</t>
  </si>
  <si>
    <t xml:space="preserve">H14, H15, H16 y H39 exponen el mismo ingreso: en cada celda, cuantifica solo uno.</t>
  </si>
  <si>
    <t xml:space="preserve">Habilitadores</t>
  </si>
  <si>
    <t xml:space="preserve">H38 no suma € por sí solo: déjalo con el piso «sin declarar».</t>
  </si>
  <si>
    <t xml:space="preserve">Añadir filas</t>
  </si>
  <si>
    <t xml:space="preserve">Nueva fila al final de Hallazgos o Palancas con el siguiente ID, y su par en Relación. Resumen avisa si queda un hallazgo sin palanca.</t>
  </si>
  <si>
    <t xml:space="preserve">Celdas a editar</t>
  </si>
  <si>
    <t xml:space="preserve">Todas las columnas de texto. No edites «Nº palancas», «Nº hallazgos» ni los textos de Relación y Ondupet: son fórmulas.</t>
  </si>
  <si>
    <t xml:space="preserve">Color</t>
  </si>
  <si>
    <t xml:space="preserve">Las filas amarillas son de familia Oportunidad. Un «Nº palancas» en rojo es un hallazgo sin palanca.</t>
  </si>
  <si>
    <t xml:space="preserve">Maestro de hallazgos · Plan to Release (P2R)</t>
  </si>
  <si>
    <t xml:space="preserve">Genérico para cualquier empresa. El anclaje concreto (paso) y la cuantificación se ponen al usarlo en cada celda.</t>
  </si>
  <si>
    <t xml:space="preserve">ID</t>
  </si>
  <si>
    <t xml:space="preserve">Proceso</t>
  </si>
  <si>
    <t xml:space="preserve">Orden</t>
  </si>
  <si>
    <t xml:space="preserve">Fase</t>
  </si>
  <si>
    <t xml:space="preserve">Hallazgo</t>
  </si>
  <si>
    <t xml:space="preserve">Métrica (volumen expuesto)</t>
  </si>
  <si>
    <t xml:space="preserve">Nº palancas</t>
  </si>
  <si>
    <t xml:space="preserve">Notas</t>
  </si>
  <si>
    <t xml:space="preserve">H01</t>
  </si>
  <si>
    <t xml:space="preserve">P2R</t>
  </si>
  <si>
    <t xml:space="preserve">Demanda y previsión</t>
  </si>
  <si>
    <t xml:space="preserve">No hay previsión estadística: es el criterio de Comercial o una copia del año anterior</t>
  </si>
  <si>
    <t xml:space="preserve">€ de previsión mensual sin modelo</t>
  </si>
  <si>
    <t xml:space="preserve">PL01</t>
  </si>
  <si>
    <t xml:space="preserve">H02</t>
  </si>
  <si>
    <t xml:space="preserve">La previsión no tiene día de cierre y se cambia dentro del mes en curso</t>
  </si>
  <si>
    <t xml:space="preserve">Cambios de previsión dentro del mes en curso / mes</t>
  </si>
  <si>
    <t xml:space="preserve">PL02</t>
  </si>
  <si>
    <t xml:space="preserve">H03</t>
  </si>
  <si>
    <t xml:space="preserve">No hay consenso de demanda entre Comercial y Planificación, o hay reunión pero no decide</t>
  </si>
  <si>
    <t xml:space="preserve">€ de previsión mensual sin consensuar</t>
  </si>
  <si>
    <t xml:space="preserve">PL03</t>
  </si>
  <si>
    <t xml:space="preserve">H04</t>
  </si>
  <si>
    <t xml:space="preserve">La previsión se usa como objetivo de ventas o presupuesto, no como demanda esperada</t>
  </si>
  <si>
    <t xml:space="preserve">Sesgo (%) × € de previsión</t>
  </si>
  <si>
    <t xml:space="preserve">H05</t>
  </si>
  <si>
    <t xml:space="preserve">La demanda perdida (agotados, pedidos rechazados) no se registra y el histórico sale sesgado</t>
  </si>
  <si>
    <t xml:space="preserve">Agotados o rechazos / mes sin registrar</t>
  </si>
  <si>
    <t xml:space="preserve">PL04</t>
  </si>
  <si>
    <t xml:space="preserve">Sin este dato, la previsión estadística (PL01) aprende el sesgo.</t>
  </si>
  <si>
    <t xml:space="preserve">H06</t>
  </si>
  <si>
    <t xml:space="preserve">No se miden precisión ni sesgo, o se miden sin umbral</t>
  </si>
  <si>
    <t xml:space="preserve">Familias sin KPI de precisión</t>
  </si>
  <si>
    <t xml:space="preserve">PL05</t>
  </si>
  <si>
    <t xml:space="preserve">H07</t>
  </si>
  <si>
    <t xml:space="preserve">Las desviaciones de previsión no llevan análisis de causa ni acción</t>
  </si>
  <si>
    <t xml:space="preserve">Desviaciones fuera de umbral sin acción / mes</t>
  </si>
  <si>
    <t xml:space="preserve">PL05, PL24</t>
  </si>
  <si>
    <t xml:space="preserve">H08</t>
  </si>
  <si>
    <t xml:space="preserve">El horizonte de previsión es más corto que el plazo de las decisiones que alimenta (turnos, compras de plazo largo, intercompany)</t>
  </si>
  <si>
    <t xml:space="preserve">€ de compras o turnos decididos sin previsión</t>
  </si>
  <si>
    <t xml:space="preserve">H09</t>
  </si>
  <si>
    <t xml:space="preserve">S&amp;OP y Plan Maestro</t>
  </si>
  <si>
    <t xml:space="preserve">No hay S&amp;OP: el desequilibrio entre demanda y capacidad no se decide con dirección y se arregla abajo, con urgencias</t>
  </si>
  <si>
    <t xml:space="preserve">Horas extra y turnos no planificados / mes</t>
  </si>
  <si>
    <t xml:space="preserve">PL06</t>
  </si>
  <si>
    <t xml:space="preserve">Puede solapar con H10 y H29 (mismas horas extra): cuantificar una vez.</t>
  </si>
  <si>
    <t xml:space="preserve">H10</t>
  </si>
  <si>
    <t xml:space="preserve">La capacidad no se planifica con datos: turnos y balanceo se deciden por intuición, sin cruzar carga con capacidad</t>
  </si>
  <si>
    <t xml:space="preserve">Horas de línea / mes</t>
  </si>
  <si>
    <t xml:space="preserve">PL07</t>
  </si>
  <si>
    <t xml:space="preserve">H11</t>
  </si>
  <si>
    <t xml:space="preserve">El plan maestro no tiene aprobación formal ni zona congelada y se cambia después de publicarlo</t>
  </si>
  <si>
    <t xml:space="preserve">Cambios dentro de la zona congelada / semana</t>
  </si>
  <si>
    <t xml:space="preserve">PL08</t>
  </si>
  <si>
    <t xml:space="preserve">H12</t>
  </si>
  <si>
    <t xml:space="preserve">No hay política de stock por segmento: ABC/XYZ, MTS/MTO y stock de seguridad sin definir o sin revisar</t>
  </si>
  <si>
    <t xml:space="preserve">Materiales sin estrategia vigente</t>
  </si>
  <si>
    <t xml:space="preserve">PL09</t>
  </si>
  <si>
    <t xml:space="preserve">La política la decide Planificación (P2R); el dato se guarda en R2M.</t>
  </si>
  <si>
    <t xml:space="preserve">H13</t>
  </si>
  <si>
    <t xml:space="preserve">Stock de producto terminado excesivo u obsoleto por fabricar contra una previsión inflada</t>
  </si>
  <si>
    <t xml:space="preserve">€ de stock sin movimiento &gt; 6 meses</t>
  </si>
  <si>
    <t xml:space="preserve">Si el stock se deprecia o se destruye, esa pérdida es Fuga de P&amp;L.</t>
  </si>
  <si>
    <t xml:space="preserve">H14</t>
  </si>
  <si>
    <t xml:space="preserve">Roturas en materiales contra stock: hay pedidos que no se pueden servir</t>
  </si>
  <si>
    <t xml:space="preserve">€ de pedidos no servidos / mes</t>
  </si>
  <si>
    <t xml:space="preserve">Comparte ingreso con H14, H15, H16 y H39: cuantificar solo uno por celda.</t>
  </si>
  <si>
    <t xml:space="preserve">H15</t>
  </si>
  <si>
    <t xml:space="preserve">La fecha al cliente se promete sin comprobar stock ni capacidad</t>
  </si>
  <si>
    <t xml:space="preserve">€ de pedidos / mes confirmados con fecha no viable</t>
  </si>
  <si>
    <t xml:space="preserve">PL10, PL25</t>
  </si>
  <si>
    <t xml:space="preserve">H16</t>
  </si>
  <si>
    <t xml:space="preserve">Cuando se sabe que no se llega, la fecha no se renegocia con el cliente</t>
  </si>
  <si>
    <t xml:space="preserve">€ de pedidos / mes entregados tarde sin aviso</t>
  </si>
  <si>
    <t xml:space="preserve">PL11</t>
  </si>
  <si>
    <t xml:space="preserve">H17</t>
  </si>
  <si>
    <t xml:space="preserve">La cartera se revisa dos veces: Comercial y Planificación, cada uno por su lado</t>
  </si>
  <si>
    <t xml:space="preserve">Horas / día</t>
  </si>
  <si>
    <t xml:space="preserve">PL11, PL25</t>
  </si>
  <si>
    <t xml:space="preserve">H18</t>
  </si>
  <si>
    <t xml:space="preserve">Cálculos repetitivos a mano: reservas de capacidad (temporales), coberturas, cargas</t>
  </si>
  <si>
    <t xml:space="preserve">Horas / mes</t>
  </si>
  <si>
    <t xml:space="preserve">PL12</t>
  </si>
  <si>
    <t xml:space="preserve">Es un cálculo fijo: mejor una regla automática que un agente.</t>
  </si>
  <si>
    <t xml:space="preserve">H19</t>
  </si>
  <si>
    <t xml:space="preserve">Intercompany (opcional): la planta que suministra se entera por un pedido urgente, sin plan conjunto ni mín/máx</t>
  </si>
  <si>
    <t xml:space="preserve">Pedidos intercompany urgentes / mes</t>
  </si>
  <si>
    <t xml:space="preserve">PL06, PL13</t>
  </si>
  <si>
    <t xml:space="preserve">Solo para las divisiones que se suministran entre sí.</t>
  </si>
  <si>
    <t xml:space="preserve">H20</t>
  </si>
  <si>
    <t xml:space="preserve">Necesidades y Aprovisionamiento</t>
  </si>
  <si>
    <t xml:space="preserve">La propuesta del sistema se corrige a mano de forma sistemática y sin registrar el motivo</t>
  </si>
  <si>
    <t xml:space="preserve">Correcciones / día</t>
  </si>
  <si>
    <t xml:space="preserve">PL14</t>
  </si>
  <si>
    <t xml:space="preserve">Baja mucho al cerrar la previsión (PL02).</t>
  </si>
  <si>
    <t xml:space="preserve">H21</t>
  </si>
  <si>
    <t xml:space="preserve">Parámetros de planificación desactualizados: lote mínimo y múltiplo, plazos, stock de seguridad</t>
  </si>
  <si>
    <t xml:space="preserve">% de materiales sin revisar en 12 meses</t>
  </si>
  <si>
    <t xml:space="preserve">PL15</t>
  </si>
  <si>
    <t xml:space="preserve">H22</t>
  </si>
  <si>
    <t xml:space="preserve">El MRP corre con poca frecuencia y las faltas se detectan tarde</t>
  </si>
  <si>
    <t xml:space="preserve">Faltas / mes detectadas con menos margen que el plazo del proveedor</t>
  </si>
  <si>
    <t xml:space="preserve">PL16</t>
  </si>
  <si>
    <t xml:space="preserve">H23</t>
  </si>
  <si>
    <t xml:space="preserve">Las faltas se revisan todas a mano, sin criticidad ni gestión por excepción</t>
  </si>
  <si>
    <t xml:space="preserve">Líneas de falta revisadas / semana</t>
  </si>
  <si>
    <t xml:space="preserve">H24</t>
  </si>
  <si>
    <t xml:space="preserve">Compras y transportes urgentes por faltas no anticipadas</t>
  </si>
  <si>
    <t xml:space="preserve">€ de sobrecoste urgente / mes</t>
  </si>
  <si>
    <t xml:space="preserve">H25</t>
  </si>
  <si>
    <t xml:space="preserve">Producto terminado y semielaborado se planifican por separado, sin sincronizar</t>
  </si>
  <si>
    <t xml:space="preserve">€ de stock de semielaborado</t>
  </si>
  <si>
    <t xml:space="preserve">PL17</t>
  </si>
  <si>
    <t xml:space="preserve">H26</t>
  </si>
  <si>
    <t xml:space="preserve">La agrupación de necesidades en lotes o combinaciones se hace a mano</t>
  </si>
  <si>
    <t xml:space="preserve">% de merma de combinación</t>
  </si>
  <si>
    <t xml:space="preserve">PL18</t>
  </si>
  <si>
    <t xml:space="preserve">H27</t>
  </si>
  <si>
    <t xml:space="preserve">Materias primas y auxiliares sin política de stock: se compra a ojo o por el mínimo del proveedor</t>
  </si>
  <si>
    <t xml:space="preserve">€ de materia prima sin consumo &gt; 6 meses</t>
  </si>
  <si>
    <t xml:space="preserve">H28</t>
  </si>
  <si>
    <t xml:space="preserve">Programación</t>
  </si>
  <si>
    <t xml:space="preserve">La secuencia se hace a mano, sin optimizar los cambios (molde, formato, altura, color)</t>
  </si>
  <si>
    <t xml:space="preserve">Horas de cambio / semana</t>
  </si>
  <si>
    <t xml:space="preserve">PL19</t>
  </si>
  <si>
    <t xml:space="preserve">H29</t>
  </si>
  <si>
    <t xml:space="preserve">Se programa sin capacidad finita: se carga más de lo que cabe</t>
  </si>
  <si>
    <t xml:space="preserve">Horas cargadas por encima de la capacidad / semana</t>
  </si>
  <si>
    <t xml:space="preserve">H30</t>
  </si>
  <si>
    <t xml:space="preserve">El programa no tiene zona congelada y los cambios de última hora obligan a resecuenciar</t>
  </si>
  <si>
    <t xml:space="preserve">Resecuenciaciones / semana</t>
  </si>
  <si>
    <t xml:space="preserve">H31</t>
  </si>
  <si>
    <t xml:space="preserve">Urgencias y prioridades sin reglas: se decide por llamada o se escala a dirección</t>
  </si>
  <si>
    <t xml:space="preserve">Escalados / semana</t>
  </si>
  <si>
    <t xml:space="preserve">PL20</t>
  </si>
  <si>
    <t xml:space="preserve">H32</t>
  </si>
  <si>
    <t xml:space="preserve">Se usa siempre la ruta por defecto, sin reequilibrar con la carga</t>
  </si>
  <si>
    <t xml:space="preserve">Horas en ruta no óptima / mes</t>
  </si>
  <si>
    <t xml:space="preserve">H33</t>
  </si>
  <si>
    <t xml:space="preserve">El programa no tiene en cuenta a las personas (polivalencias, turnos) ni las paradas planificadas</t>
  </si>
  <si>
    <t xml:space="preserve">Órdenes reprogramadas por personal o parada / mes</t>
  </si>
  <si>
    <t xml:space="preserve">PL21</t>
  </si>
  <si>
    <t xml:space="preserve">H34</t>
  </si>
  <si>
    <t xml:space="preserve">Liberación</t>
  </si>
  <si>
    <t xml:space="preserve">Se libera sin comprobar material en línea, utillaje, ficha y personal</t>
  </si>
  <si>
    <t xml:space="preserve">Arranques fallidos / mes</t>
  </si>
  <si>
    <t xml:space="preserve">PL22</t>
  </si>
  <si>
    <t xml:space="preserve">H35</t>
  </si>
  <si>
    <t xml:space="preserve">No hay ventana de liberación: se libera todo de golpe o en el último momento</t>
  </si>
  <si>
    <t xml:space="preserve">Días entre liberación e inicio</t>
  </si>
  <si>
    <t xml:space="preserve">H36</t>
  </si>
  <si>
    <t xml:space="preserve">El aprovisionamiento a línea no va sincronizado con la secuencia</t>
  </si>
  <si>
    <t xml:space="preserve">Minutos de espera de material por orden</t>
  </si>
  <si>
    <t xml:space="preserve">H37</t>
  </si>
  <si>
    <t xml:space="preserve">La orden sale con una ficha técnica o una versión de producto no vigente</t>
  </si>
  <si>
    <t xml:space="preserve">Órdenes con ficha no vigente / mes</t>
  </si>
  <si>
    <t xml:space="preserve">H38</t>
  </si>
  <si>
    <t xml:space="preserve">Seguimiento y Control</t>
  </si>
  <si>
    <t xml:space="preserve">No hay KPIs formales de servicio (OTIF a fecha confirmada) ni de adherencia al programa</t>
  </si>
  <si>
    <t xml:space="preserve">Pedidos / mes sin medir</t>
  </si>
  <si>
    <t xml:space="preserve">PL23</t>
  </si>
  <si>
    <t xml:space="preserve">Habilitador: no suma € por sí solo. Piso «sin declarar».</t>
  </si>
  <si>
    <t xml:space="preserve">H39</t>
  </si>
  <si>
    <t xml:space="preserve">Los atrasos se detectan cuando ya han ocurrido, sin aviso de pedidos en riesgo</t>
  </si>
  <si>
    <t xml:space="preserve">€ de pedidos atrasados / mes</t>
  </si>
  <si>
    <t xml:space="preserve">PL23, PL25</t>
  </si>
  <si>
    <t xml:space="preserve">H40</t>
  </si>
  <si>
    <t xml:space="preserve">Las desviaciones del plan no tienen análisis de causa y lo aprendido no vuelve a la previsión ni a los parámetros</t>
  </si>
  <si>
    <t xml:space="preserve">Desviaciones sin causa / mes</t>
  </si>
  <si>
    <t xml:space="preserve">PL24</t>
  </si>
  <si>
    <t xml:space="preserve">H41</t>
  </si>
  <si>
    <t xml:space="preserve">Los informes de seguimiento se hacen a mano</t>
  </si>
  <si>
    <t xml:space="preserve">Horas / semana</t>
  </si>
  <si>
    <t xml:space="preserve">H42</t>
  </si>
  <si>
    <t xml:space="preserve">Transversal del proceso</t>
  </si>
  <si>
    <t xml:space="preserve">La planificación se concentra en una persona, sin suplente ni procedimiento escrito</t>
  </si>
  <si>
    <t xml:space="preserve">Roles por persona</t>
  </si>
  <si>
    <t xml:space="preserve">PL26</t>
  </si>
  <si>
    <t xml:space="preserve">H43</t>
  </si>
  <si>
    <t xml:space="preserve">No hay RACI: no está claro quién decide la previsión, la fecha y la prioridad</t>
  </si>
  <si>
    <t xml:space="preserve">Decisiones escaladas / mes</t>
  </si>
  <si>
    <t xml:space="preserve">H44</t>
  </si>
  <si>
    <t xml:space="preserve">Se planifica en Excel paralelos o con sistemas sin integrar, con doble carga</t>
  </si>
  <si>
    <t xml:space="preserve">Horas / semana de doble carga</t>
  </si>
  <si>
    <t xml:space="preserve">PL27</t>
  </si>
  <si>
    <t xml:space="preserve">Maestro de palancas · Plan to Release (P2R)</t>
  </si>
  <si>
    <t xml:space="preserve">La palanca dice qué cambia; la intervención tipo, cómo suele hacerse. Responsable y fechas se fijan en cada celda.</t>
  </si>
  <si>
    <t xml:space="preserve">Palanca</t>
  </si>
  <si>
    <t xml:space="preserve">Tipo principal</t>
  </si>
  <si>
    <t xml:space="preserve">Tipo secundario</t>
  </si>
  <si>
    <t xml:space="preserve">Evoluciona a IA</t>
  </si>
  <si>
    <t xml:space="preserve">Hallazgos que resuelve</t>
  </si>
  <si>
    <t xml:space="preserve">Nº hallazgos</t>
  </si>
  <si>
    <t xml:space="preserve">KPI</t>
  </si>
  <si>
    <t xml:space="preserve">Intervención tipo (cómo)</t>
  </si>
  <si>
    <t xml:space="preserve">Previsión estadística por familia y material, a 12–18 meses</t>
  </si>
  <si>
    <t xml:space="preserve">Sí</t>
  </si>
  <si>
    <t xml:space="preserve">H01, H08</t>
  </si>
  <si>
    <t xml:space="preserve">Precisión (1–WMAPE)</t>
  </si>
  <si>
    <t xml:space="preserve">Modelo por familia y material con histórico limpio (incluida la demanda perdida) y estacionalidad; Comercial solo revisa las excepciones antes del cierre.</t>
  </si>
  <si>
    <t xml:space="preserve">Calendario de demanda con día de cierre y mes en curso congelado</t>
  </si>
  <si>
    <t xml:space="preserve">No</t>
  </si>
  <si>
    <t xml:space="preserve">Cambios tras el cierre</t>
  </si>
  <si>
    <t xml:space="preserve">Publicar el calendario anual con el día de cierre y bloquear en el sistema la previsión del mes en curso; los cambios posteriores, solo con aprobación y motivo.</t>
  </si>
  <si>
    <t xml:space="preserve">Revisión mensual de demanda con consenso: se planifica la demanda esperada, no el objetivo</t>
  </si>
  <si>
    <t xml:space="preserve">H03, H04</t>
  </si>
  <si>
    <t xml:space="preserve">Sesgo · consenso en fecha</t>
  </si>
  <si>
    <t xml:space="preserve">Reunión mensual Comercial–Planificación con orden del día fijo, acta y decisiones; previsión y presupuesto se cargan por separado.</t>
  </si>
  <si>
    <t xml:space="preserve">Registro de la demanda perdida con su motivo</t>
  </si>
  <si>
    <t xml:space="preserve">% de agotados registrados</t>
  </si>
  <si>
    <t xml:space="preserve">Definir qué es un agotado o un rechazo y registrarlo a diario en el sistema, con su motivo.</t>
  </si>
  <si>
    <t xml:space="preserve">KPI de precisión y sesgo por familia, con umbral y plan de acción</t>
  </si>
  <si>
    <t xml:space="preserve">H06, H07</t>
  </si>
  <si>
    <t xml:space="preserve">Familias fuera de umbral con acción</t>
  </si>
  <si>
    <t xml:space="preserve">Cálculo automático mensual por familia, umbral por segmento y plan de acción para cada familia fuera de umbral.</t>
  </si>
  <si>
    <t xml:space="preserve">S&amp;OP mensual con escenarios valorados en € y reunión ejecutiva</t>
  </si>
  <si>
    <t xml:space="preserve">H09, H19</t>
  </si>
  <si>
    <t xml:space="preserve">Horas extra no planificadas · cumplimiento del plan</t>
  </si>
  <si>
    <t xml:space="preserve">Ciclo mensual: revisión de demanda, revisión de suministro y reunión ejecutiva; cada escenario (turnos, stock, subcontratación, intercompany) valorado en €.</t>
  </si>
  <si>
    <t xml:space="preserve">Plan de capacidad: carga frente a capacidad por línea, con regla de turnos</t>
  </si>
  <si>
    <t xml:space="preserve">Ocupación real frente a la planificada</t>
  </si>
  <si>
    <t xml:space="preserve">Cruce automático de previsión cerrada × rutas × tiempos de ciclo contra el calendario; umbrales de ocupación para abrir o cerrar turnos.</t>
  </si>
  <si>
    <t xml:space="preserve">Zonas congeladas en el plan maestro y en el programa</t>
  </si>
  <si>
    <t xml:space="preserve">H11, H30</t>
  </si>
  <si>
    <t xml:space="preserve">Cambios en zona congelada</t>
  </si>
  <si>
    <t xml:space="preserve">Definir los horizontes (congelado, firme, libre) del plan y del programa; las excepciones se aprueban y quedan registradas.</t>
  </si>
  <si>
    <t xml:space="preserve">Segmentación ABC/XYZ y política de stock por segmento, revisada cada trimestre</t>
  </si>
  <si>
    <t xml:space="preserve">H12, H13, H14, H27</t>
  </si>
  <si>
    <t xml:space="preserve">Cobertura · roturas · stock obsoleto</t>
  </si>
  <si>
    <t xml:space="preserve">Criterios ABC por valor y XYZ por variabilidad, matriz que asigna MTS/MTO y stock de seguridad, y recálculo trimestral automático.</t>
  </si>
  <si>
    <t xml:space="preserve">PL10</t>
  </si>
  <si>
    <t xml:space="preserve">Promesa de fecha con disponibilidad real: stock y capacidad libre (ATP/CTP)</t>
  </si>
  <si>
    <t xml:space="preserve">% de pedidos confirmados con fecha viable</t>
  </si>
  <si>
    <t xml:space="preserve">Consulta de disponibilidad (stock y capacidad libre) al confirmar el pedido: la fecha la propone el sistema, no se teclea.</t>
  </si>
  <si>
    <t xml:space="preserve">Política de cartera: una sola revisión conjunta, dos fechas en el pedido y aviso al cliente</t>
  </si>
  <si>
    <t xml:space="preserve">H16, H17</t>
  </si>
  <si>
    <t xml:space="preserve">OTIF a fecha confirmada</t>
  </si>
  <si>
    <t xml:space="preserve">Una revisión diaria conjunta; fecha solicitada y fecha confirmada en cada pedido; plazo fijo de confirmación y aviso al cliente si no se llega.</t>
  </si>
  <si>
    <t xml:space="preserve">Automatizar cálculos e informes repetitivos</t>
  </si>
  <si>
    <t xml:space="preserve">H18, H41</t>
  </si>
  <si>
    <t xml:space="preserve">Horas liberadas</t>
  </si>
  <si>
    <t xml:space="preserve">Pasar a reglas del sistema los cálculos e informes que hoy se hacen en Excel cada día, semana o mes.</t>
  </si>
  <si>
    <t xml:space="preserve">PL13</t>
  </si>
  <si>
    <t xml:space="preserve">Plan intercompany con mín/máx y pedidos programados</t>
  </si>
  <si>
    <t xml:space="preserve">Pedidos intercompany urgentes</t>
  </si>
  <si>
    <t xml:space="preserve">Mín/máx por material entre plantas, pedidos programados y revisión semanal conjunta.</t>
  </si>
  <si>
    <t xml:space="preserve">Necesidades por excepción: alertas por criticidad y motivo obligatorio en cada corrección</t>
  </si>
  <si>
    <t xml:space="preserve">H20, H23</t>
  </si>
  <si>
    <t xml:space="preserve">El sistema marca solo las excepciones, ordenadas por criticidad; cada corrección manual exige un motivo de una lista cerrada.</t>
  </si>
  <si>
    <t xml:space="preserve">Revisión periódica de los parámetros de planificación contra la realidad</t>
  </si>
  <si>
    <t xml:space="preserve">% de parámetros vigentes</t>
  </si>
  <si>
    <t xml:space="preserve">Revisión semestral de lotes, plazos y stock de seguridad contra los datos reales, con un responsable por parámetro.</t>
  </si>
  <si>
    <t xml:space="preserve">MRP diario con alertas tempranas de faltas</t>
  </si>
  <si>
    <t xml:space="preserve">H22, H24</t>
  </si>
  <si>
    <t xml:space="preserve">Faltas detectadas a tiempo · € urgentes</t>
  </si>
  <si>
    <t xml:space="preserve">MRP diario (nocturno) con alerta de faltas priorizada por fecha de necesidad y por pedido de cliente.</t>
  </si>
  <si>
    <t xml:space="preserve">Planificación multinivel sincronizada: producto terminado, semielaborado y materias primas</t>
  </si>
  <si>
    <t xml:space="preserve">Stock de semielaborado</t>
  </si>
  <si>
    <t xml:space="preserve">Planificar los tres niveles en el mismo cálculo, con trazabilidad de cada necesidad hasta su origen.</t>
  </si>
  <si>
    <t xml:space="preserve">Optimizador de agrupación y combinación</t>
  </si>
  <si>
    <t xml:space="preserve">% de merma</t>
  </si>
  <si>
    <t xml:space="preserve">Algoritmo de agrupación por reglas de lote y combinación que minimiza la merma y los cambios.</t>
  </si>
  <si>
    <t xml:space="preserve">Secuenciador con capacidad finita, matriz de cambios y rutas alternativas</t>
  </si>
  <si>
    <t xml:space="preserve">H28, H29, H32</t>
  </si>
  <si>
    <t xml:space="preserve">Horas de cambio · adherencia</t>
  </si>
  <si>
    <t xml:space="preserve">Matriz de tiempos de cambio por línea y capacidad finita; propone la secuencia y las rutas alternativas, y el programador la aprueba.</t>
  </si>
  <si>
    <t xml:space="preserve">Reglas de prioridad y de escalado</t>
  </si>
  <si>
    <t xml:space="preserve">Criterios escritos (cliente, fecha, margen, penalización) y un árbitro definido para los conflictos.</t>
  </si>
  <si>
    <t xml:space="preserve">Programar teniendo en cuenta personas y mantenimiento</t>
  </si>
  <si>
    <t xml:space="preserve">Reprogramaciones por personal o parada</t>
  </si>
  <si>
    <t xml:space="preserve">Cargar en el programa la matriz de polivalencias, los turnos y las paradas preventivas.</t>
  </si>
  <si>
    <t xml:space="preserve">Semáforo de liberación 24–72 h antes, con ventana de liberación</t>
  </si>
  <si>
    <t xml:space="preserve">H34, H35, H36, H37</t>
  </si>
  <si>
    <t xml:space="preserve">Arranques fallidos</t>
  </si>
  <si>
    <t xml:space="preserve">Comprobación automática de material en línea, utillaje, ficha vigente y personal; la orden se libera en verde y dentro de su ventana.</t>
  </si>
  <si>
    <t xml:space="preserve">Cuadro de mando de servicio y adherencia, con alertas de pedidos en riesgo</t>
  </si>
  <si>
    <t xml:space="preserve">H38, H39</t>
  </si>
  <si>
    <t xml:space="preserve">OTIF · avisos anticipados</t>
  </si>
  <si>
    <t xml:space="preserve">OTIF a fecha confirmada y adherencia al programa calculados solos, con alerta de los pedidos en riesgo antes de que se retrasen.</t>
  </si>
  <si>
    <t xml:space="preserve">Análisis de causa raíz de las desviaciones, que vuelve a la previsión y a los parámetros</t>
  </si>
  <si>
    <t xml:space="preserve">H07, H40</t>
  </si>
  <si>
    <t xml:space="preserve">Desviaciones con causa</t>
  </si>
  <si>
    <t xml:space="preserve">Clasificar cada desviación por causa (lista cerrada), asignar una acción con responsable y devolver lo aprendido a la previsión y a los parámetros.</t>
  </si>
  <si>
    <t xml:space="preserve">PL25</t>
  </si>
  <si>
    <t xml:space="preserve">Copiloto de consulta: «¿cuándo sirvo X?», «¿por qué va tarde X?»</t>
  </si>
  <si>
    <t xml:space="preserve">H15, H17, H39</t>
  </si>
  <si>
    <t xml:space="preserve">Consultas resueltas sin llamada</t>
  </si>
  <si>
    <t xml:space="preserve">Asistente que responde sobre plazos y estado de pedidos con los datos del sistema, sin modificar nada.</t>
  </si>
  <si>
    <t xml:space="preserve">Gobierno: RACI, titular y suplente por rol, procedimiento escrito</t>
  </si>
  <si>
    <t xml:space="preserve">H42, H43</t>
  </si>
  <si>
    <t xml:space="preserve">Roles con suplente</t>
  </si>
  <si>
    <t xml:space="preserve">RACI por actividad, titular y suplente por rol y un procedimiento escrito por fase.</t>
  </si>
  <si>
    <t xml:space="preserve">Planificar dentro del sistema: sin Excel paralelos y con los sistemas integrados</t>
  </si>
  <si>
    <t xml:space="preserve">Horas de doble carga</t>
  </si>
  <si>
    <t xml:space="preserve">Inventariar los Excel paralelos, llevar su lógica al sistema e integrar los sistemas para cargar cada dato una sola vez.</t>
  </si>
  <si>
    <t xml:space="preserve">Relación palanca ↔ hallazgo</t>
  </si>
  <si>
    <t xml:space="preserve">Una fila por par, lista para importar. Los textos se buscan en las hojas Palancas y Hallazgos.</t>
  </si>
  <si>
    <t xml:space="preserve">Texto de la palanca</t>
  </si>
  <si>
    <t xml:space="preserve">Texto del hallazgo</t>
  </si>
  <si>
    <t xml:space="preserve">Fase del hallazgo</t>
  </si>
  <si>
    <t xml:space="preserve">Detectados en P2R, pero van al maestro de otro proceso</t>
  </si>
  <si>
    <t xml:space="preserve">Créalos en el proceso destino con «Detectado en: P2R»: el coste suma donde se arregla.</t>
  </si>
  <si>
    <t xml:space="preserve">Proceso destino</t>
  </si>
  <si>
    <t xml:space="preserve">Detectado en</t>
  </si>
  <si>
    <t xml:space="preserve">Palanca en ese proceso</t>
  </si>
  <si>
    <t xml:space="preserve">Tipo</t>
  </si>
  <si>
    <t xml:space="preserve">X01</t>
  </si>
  <si>
    <t xml:space="preserve">R2M</t>
  </si>
  <si>
    <t xml:space="preserve">El alta de material no pasa por Planificación (estrategia, ruta, parámetros)</t>
  </si>
  <si>
    <t xml:space="preserve">Altas / mes sin validar por Planificación</t>
  </si>
  <si>
    <t xml:space="preserve">Validación de Planificación en el alta de material</t>
  </si>
  <si>
    <t xml:space="preserve">X02</t>
  </si>
  <si>
    <t xml:space="preserve">Duplicados en el maestro, sin criterio de qué es un material</t>
  </si>
  <si>
    <t xml:space="preserve">Materiales duplicados</t>
  </si>
  <si>
    <t xml:space="preserve">Criterio de material y auditoría de duplicados</t>
  </si>
  <si>
    <t xml:space="preserve">X03</t>
  </si>
  <si>
    <t xml:space="preserve">El calendario de turnos y paradas, las velocidades y los tiempos de cambio no coinciden con la realidad</t>
  </si>
  <si>
    <t xml:space="preserve">% de recursos con datos sin revisar</t>
  </si>
  <si>
    <t xml:space="preserve">Maestro de recursos de fabricación mantenido</t>
  </si>
  <si>
    <t xml:space="preserve">X04</t>
  </si>
  <si>
    <t xml:space="preserve">P2P</t>
  </si>
  <si>
    <t xml:space="preserve">Plazos de proveedor desactualizados y confirmaciones sin registrar</t>
  </si>
  <si>
    <t xml:space="preserve">% de líneas con fecha confirmada distinta de la prevista</t>
  </si>
  <si>
    <t xml:space="preserve">Seguimiento de confirmaciones de proveedor</t>
  </si>
  <si>
    <t xml:space="preserve">X05</t>
  </si>
  <si>
    <t xml:space="preserve">O2C</t>
  </si>
  <si>
    <t xml:space="preserve">Cartera con errores (cantidades mayores que el pedido, fechas imposibles) y pedidos servidos sin saldar</t>
  </si>
  <si>
    <t xml:space="preserve">Líneas de cartera erróneas o servidas sin saldar</t>
  </si>
  <si>
    <t xml:space="preserve">Validación de cargas y saldado por regla</t>
  </si>
  <si>
    <t xml:space="preserve">Ondupet · dónde cae lo que ya está creado</t>
  </si>
  <si>
    <t xml:space="preserve">Para re-vincular los hallazgos y palancas creados directamente en la celda P2R × Ondupet.</t>
  </si>
  <si>
    <t xml:space="preserve">Nº</t>
  </si>
  <si>
    <t xml:space="preserve">Hallazgo creado</t>
  </si>
  <si>
    <t xml:space="preserve">ID maestro</t>
  </si>
  <si>
    <t xml:space="preserve">Hallazgo del maestro</t>
  </si>
  <si>
    <t xml:space="preserve">Nota</t>
  </si>
  <si>
    <t xml:space="preserve">Sin cierre de previsiones: se modifica a mitad de mes</t>
  </si>
  <si>
    <t xml:space="preserve">No se hace carga de capacidad (se decide por sensaciones)</t>
  </si>
  <si>
    <t xml:space="preserve">No se calculan ABC ni estrategias</t>
  </si>
  <si>
    <t xml:space="preserve">Antes lo mandé a R2M; queda mejor en P2R porque falta la política, no el dato.</t>
  </si>
  <si>
    <t xml:space="preserve">Temporales calculados a mano cada mes</t>
  </si>
  <si>
    <t xml:space="preserve">No se modifican las fechas al cliente aunque se sepa que no se llega</t>
  </si>
  <si>
    <t xml:space="preserve">Familia: Oportunidad (ingreso expuesto).</t>
  </si>
  <si>
    <t xml:space="preserve">Saldado de pedidos manual; a veces no se hace</t>
  </si>
  <si>
    <t xml:space="preserve">Va a O2C × Ondupet con «Detectado en: P2R».</t>
  </si>
  <si>
    <t xml:space="preserve">Corrección manual de desviaciones de demanda</t>
  </si>
  <si>
    <t xml:space="preserve">Revisión de faltas manual</t>
  </si>
  <si>
    <t xml:space="preserve">Secuenciación a mano</t>
  </si>
  <si>
    <t xml:space="preserve">Palanca creada</t>
  </si>
  <si>
    <t xml:space="preserve">Palanca del maestro</t>
  </si>
  <si>
    <t xml:space="preserve">Complementarias</t>
  </si>
  <si>
    <t xml:space="preserve">P1</t>
  </si>
  <si>
    <t xml:space="preserve">Previsión cerrada y congelada</t>
  </si>
  <si>
    <t xml:space="preserve">P2</t>
  </si>
  <si>
    <t xml:space="preserve">Capacidad decidida con datos</t>
  </si>
  <si>
    <t xml:space="preserve">P3</t>
  </si>
  <si>
    <t xml:space="preserve">Segmentación y estrategias al día</t>
  </si>
  <si>
    <t xml:space="preserve">P4</t>
  </si>
  <si>
    <t xml:space="preserve">Fecha comprometida viable</t>
  </si>
  <si>
    <t xml:space="preserve">PL10, PL23</t>
  </si>
  <si>
    <t xml:space="preserve">P5</t>
  </si>
  <si>
    <t xml:space="preserve">Saldado por regla</t>
  </si>
  <si>
    <t xml:space="preserve">P6</t>
  </si>
  <si>
    <t xml:space="preserve">Necesidades y faltas por excepción</t>
  </si>
  <si>
    <t xml:space="preserve">P7</t>
  </si>
  <si>
    <t xml:space="preserve">Secuencia optimizada</t>
  </si>
  <si>
    <t xml:space="preserve">PL08, PL20</t>
  </si>
  <si>
    <t xml:space="preserve">Resumen del maestro</t>
  </si>
  <si>
    <t xml:space="preserve">Se recalcula solo si añades o cambias filas en Hallazgos y Palancas.</t>
  </si>
  <si>
    <t xml:space="preserve">Ineficiencia</t>
  </si>
  <si>
    <t xml:space="preserve">Oportunidad</t>
  </si>
  <si>
    <t xml:space="preserve">Total</t>
  </si>
  <si>
    <t xml:space="preserve">Tipo principal de palanca</t>
  </si>
  <si>
    <t xml:space="preserve">Evolucionan a IA</t>
  </si>
  <si>
    <t xml:space="preserve">Control de calidad</t>
  </si>
  <si>
    <t xml:space="preserve">Valor</t>
  </si>
  <si>
    <t xml:space="preserve">Hallazgos sin palanca (debe ser 0)</t>
  </si>
  <si>
    <t xml:space="preserve">Palancas sin hallazgo (debe ser 0)</t>
  </si>
  <si>
    <t xml:space="preserve">Pares palanca–hallazgo</t>
  </si>
  <si>
    <t xml:space="preserve">Tipo de palanca</t>
  </si>
  <si>
    <t xml:space="preserve">Sí/No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</si>
</sst>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i val="true"/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263A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263A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1D6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C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D6"/>
      <rgbColor rgb="FFCCFFFF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2318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4" customFormat="false" ht="15" hidden="false" customHeight="false" outlineLevel="0" collapsed="false">
      <c r="B14" s="3" t="s">
        <v>17</v>
      </c>
    </row>
    <row r="15" customFormat="false" ht="1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8" customFormat="false" ht="15" hidden="false" customHeight="false" outlineLevel="0" collapsed="false">
      <c r="B18" s="3" t="s">
        <v>22</v>
      </c>
    </row>
    <row r="19" customFormat="false" ht="15" hidden="false" customHeight="false" outlineLevel="0" collapsed="false">
      <c r="B19" s="4" t="s">
        <v>23</v>
      </c>
      <c r="C19" s="5" t="s">
        <v>24</v>
      </c>
    </row>
    <row r="20" customFormat="false" ht="15" hidden="false" customHeight="false" outlineLevel="0" collapsed="false">
      <c r="B20" s="4" t="s">
        <v>25</v>
      </c>
      <c r="C20" s="5" t="s">
        <v>26</v>
      </c>
    </row>
    <row r="21" customFormat="false" ht="15" hidden="false" customHeight="false" outlineLevel="0" collapsed="false">
      <c r="B21" s="4" t="s">
        <v>27</v>
      </c>
      <c r="C21" s="5" t="s">
        <v>28</v>
      </c>
    </row>
    <row r="22" customFormat="false" ht="15" hidden="false" customHeight="false" outlineLevel="0" collapsed="false">
      <c r="B22" s="4" t="s">
        <v>29</v>
      </c>
      <c r="C22" s="5" t="s">
        <v>30</v>
      </c>
    </row>
    <row r="23" customFormat="false" ht="15" hidden="false" customHeight="false" outlineLevel="0" collapsed="false">
      <c r="B23" s="4" t="s">
        <v>31</v>
      </c>
      <c r="C23" s="5" t="s">
        <v>32</v>
      </c>
    </row>
    <row r="25" customFormat="false" ht="15" hidden="false" customHeight="false" outlineLevel="0" collapsed="false">
      <c r="B25" s="3" t="s">
        <v>33</v>
      </c>
    </row>
    <row r="26" customFormat="false" ht="15" hidden="false" customHeight="false" outlineLevel="0" collapsed="false">
      <c r="B26" s="4" t="s">
        <v>34</v>
      </c>
      <c r="C26" s="5" t="s">
        <v>35</v>
      </c>
    </row>
    <row r="27" customFormat="false" ht="15" hidden="false" customHeight="false" outlineLevel="0" collapsed="false">
      <c r="B27" s="4" t="s">
        <v>36</v>
      </c>
      <c r="C27" s="5" t="s">
        <v>37</v>
      </c>
    </row>
    <row r="28" customFormat="false" ht="15" hidden="false" customHeight="false" outlineLevel="0" collapsed="false">
      <c r="B28" s="4" t="s">
        <v>38</v>
      </c>
      <c r="C28" s="5" t="s">
        <v>39</v>
      </c>
    </row>
    <row r="29" customFormat="false" ht="15" hidden="false" customHeight="false" outlineLevel="0" collapsed="false">
      <c r="B29" s="4" t="s">
        <v>40</v>
      </c>
      <c r="C29" s="5" t="s">
        <v>41</v>
      </c>
    </row>
    <row r="30" customFormat="false" ht="15" hidden="false" customHeight="false" outlineLevel="0" collapsed="false">
      <c r="B30" s="4" t="s">
        <v>42</v>
      </c>
      <c r="C30" s="5" t="s">
        <v>43</v>
      </c>
    </row>
    <row r="31" customFormat="false" ht="15" hidden="false" customHeight="false" outlineLevel="0" collapsed="false">
      <c r="B31" s="4" t="s">
        <v>44</v>
      </c>
      <c r="C31" s="5" t="s">
        <v>45</v>
      </c>
    </row>
    <row r="32" customFormat="false" ht="15" hidden="false" customHeight="false" outlineLevel="0" collapsed="false">
      <c r="B32" s="4" t="s">
        <v>46</v>
      </c>
      <c r="C32" s="5" t="s">
        <v>47</v>
      </c>
    </row>
    <row r="33" customFormat="false" ht="15" hidden="false" customHeight="false" outlineLevel="0" collapsed="false">
      <c r="B33" s="4" t="s">
        <v>48</v>
      </c>
      <c r="C33" s="5" t="s">
        <v>49</v>
      </c>
    </row>
    <row r="34" customFormat="false" ht="15" hidden="false" customHeight="false" outlineLevel="0" collapsed="false">
      <c r="B34" s="4" t="s">
        <v>50</v>
      </c>
      <c r="C34" s="5" t="s">
        <v>51</v>
      </c>
    </row>
    <row r="36" customFormat="false" ht="15" hidden="false" customHeight="false" outlineLevel="0" collapsed="false">
      <c r="B36" s="3" t="s">
        <v>52</v>
      </c>
    </row>
    <row r="37" customFormat="false" ht="15" hidden="false" customHeight="false" outlineLevel="0" collapsed="false">
      <c r="B37" s="4" t="s">
        <v>53</v>
      </c>
      <c r="C37" s="5" t="s">
        <v>54</v>
      </c>
    </row>
    <row r="38" customFormat="false" ht="15" hidden="false" customHeight="false" outlineLevel="0" collapsed="false">
      <c r="B38" s="4" t="s">
        <v>55</v>
      </c>
      <c r="C38" s="5" t="s">
        <v>56</v>
      </c>
    </row>
    <row r="39" customFormat="false" ht="15" hidden="false" customHeight="false" outlineLevel="0" collapsed="false">
      <c r="B39" s="4" t="s">
        <v>57</v>
      </c>
      <c r="C39" s="5" t="s">
        <v>58</v>
      </c>
    </row>
    <row r="40" customFormat="false" ht="15" hidden="false" customHeight="false" outlineLevel="0" collapsed="false">
      <c r="B40" s="4" t="s">
        <v>59</v>
      </c>
      <c r="C40" s="5" t="s">
        <v>60</v>
      </c>
    </row>
    <row r="41" customFormat="false" ht="15" hidden="false" customHeight="false" outlineLevel="0" collapsed="false">
      <c r="B41" s="4" t="s">
        <v>61</v>
      </c>
      <c r="C41" s="5" t="s">
        <v>62</v>
      </c>
    </row>
    <row r="42" customFormat="false" ht="15" hidden="false" customHeight="false" outlineLevel="0" collapsed="false">
      <c r="B42" s="4" t="s">
        <v>63</v>
      </c>
      <c r="C42" s="5" t="s">
        <v>64</v>
      </c>
    </row>
    <row r="43" customFormat="false" ht="15" hidden="false" customHeight="false" outlineLevel="0" collapsed="false">
      <c r="B43" s="4" t="s">
        <v>65</v>
      </c>
      <c r="C43" s="5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58"/>
    <col collapsed="false" customWidth="true" hidden="false" outlineLevel="0" max="6" min="6" style="0" width="22"/>
    <col collapsed="false" customWidth="true" hidden="false" outlineLevel="0" max="7" min="7" style="0" width="26"/>
    <col collapsed="false" customWidth="true" hidden="false" outlineLevel="0" max="8" min="8" style="0" width="32"/>
    <col collapsed="false" customWidth="true" hidden="false" outlineLevel="0" max="9" min="9" style="0" width="16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6" t="s">
        <v>67</v>
      </c>
    </row>
    <row r="2" customFormat="false" ht="15" hidden="false" customHeight="false" outlineLevel="0" collapsed="false">
      <c r="A2" s="7" t="s">
        <v>68</v>
      </c>
    </row>
    <row r="4" customFormat="false" ht="15" hidden="false" customHeight="false" outlineLevel="0" collapsed="false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17</v>
      </c>
      <c r="G4" s="8" t="s">
        <v>22</v>
      </c>
      <c r="H4" s="8" t="s">
        <v>74</v>
      </c>
      <c r="I4" s="8" t="s">
        <v>5</v>
      </c>
      <c r="J4" s="8" t="s">
        <v>75</v>
      </c>
      <c r="K4" s="8" t="s">
        <v>76</v>
      </c>
    </row>
    <row r="5" customFormat="false" ht="15" hidden="false" customHeight="false" outlineLevel="0" collapsed="false">
      <c r="A5" s="9" t="s">
        <v>77</v>
      </c>
      <c r="B5" s="9" t="s">
        <v>78</v>
      </c>
      <c r="C5" s="9" t="n">
        <v>1</v>
      </c>
      <c r="D5" s="10" t="s">
        <v>79</v>
      </c>
      <c r="E5" s="10" t="s">
        <v>80</v>
      </c>
      <c r="F5" s="10" t="s">
        <v>18</v>
      </c>
      <c r="G5" s="10" t="s">
        <v>27</v>
      </c>
      <c r="H5" s="10" t="s">
        <v>81</v>
      </c>
      <c r="I5" s="10" t="s">
        <v>82</v>
      </c>
      <c r="J5" s="11" t="n">
        <f aca="false">COUNTIF(Relación!$C$5:$C$53,A5)</f>
        <v>1</v>
      </c>
      <c r="K5" s="10"/>
    </row>
    <row r="6" customFormat="false" ht="23.85" hidden="false" customHeight="false" outlineLevel="0" collapsed="false">
      <c r="A6" s="9" t="s">
        <v>83</v>
      </c>
      <c r="B6" s="9" t="s">
        <v>78</v>
      </c>
      <c r="C6" s="9" t="n">
        <v>1</v>
      </c>
      <c r="D6" s="10" t="s">
        <v>79</v>
      </c>
      <c r="E6" s="10" t="s">
        <v>84</v>
      </c>
      <c r="F6" s="10" t="s">
        <v>18</v>
      </c>
      <c r="G6" s="10" t="s">
        <v>27</v>
      </c>
      <c r="H6" s="10" t="s">
        <v>85</v>
      </c>
      <c r="I6" s="10" t="s">
        <v>86</v>
      </c>
      <c r="J6" s="11" t="n">
        <f aca="false">COUNTIF(Relación!$C$5:$C$53,A6)</f>
        <v>1</v>
      </c>
      <c r="K6" s="10"/>
    </row>
    <row r="7" customFormat="false" ht="23.85" hidden="false" customHeight="false" outlineLevel="0" collapsed="false">
      <c r="A7" s="9" t="s">
        <v>87</v>
      </c>
      <c r="B7" s="9" t="s">
        <v>78</v>
      </c>
      <c r="C7" s="9" t="n">
        <v>1</v>
      </c>
      <c r="D7" s="10" t="s">
        <v>79</v>
      </c>
      <c r="E7" s="10" t="s">
        <v>88</v>
      </c>
      <c r="F7" s="10" t="s">
        <v>18</v>
      </c>
      <c r="G7" s="10" t="s">
        <v>27</v>
      </c>
      <c r="H7" s="10" t="s">
        <v>89</v>
      </c>
      <c r="I7" s="10" t="s">
        <v>90</v>
      </c>
      <c r="J7" s="11" t="n">
        <f aca="false">COUNTIF(Relación!$C$5:$C$53,A7)</f>
        <v>1</v>
      </c>
      <c r="K7" s="10"/>
    </row>
    <row r="8" customFormat="false" ht="15" hidden="false" customHeight="false" outlineLevel="0" collapsed="false">
      <c r="A8" s="9" t="s">
        <v>91</v>
      </c>
      <c r="B8" s="9" t="s">
        <v>78</v>
      </c>
      <c r="C8" s="9" t="n">
        <v>1</v>
      </c>
      <c r="D8" s="10" t="s">
        <v>79</v>
      </c>
      <c r="E8" s="10" t="s">
        <v>92</v>
      </c>
      <c r="F8" s="10" t="s">
        <v>18</v>
      </c>
      <c r="G8" s="10" t="s">
        <v>27</v>
      </c>
      <c r="H8" s="10" t="s">
        <v>93</v>
      </c>
      <c r="I8" s="10" t="s">
        <v>90</v>
      </c>
      <c r="J8" s="11" t="n">
        <f aca="false">COUNTIF(Relación!$C$5:$C$53,A8)</f>
        <v>1</v>
      </c>
      <c r="K8" s="10"/>
    </row>
    <row r="9" customFormat="false" ht="23.85" hidden="false" customHeight="false" outlineLevel="0" collapsed="false">
      <c r="A9" s="9" t="s">
        <v>94</v>
      </c>
      <c r="B9" s="9" t="s">
        <v>78</v>
      </c>
      <c r="C9" s="9" t="n">
        <v>1</v>
      </c>
      <c r="D9" s="10" t="s">
        <v>79</v>
      </c>
      <c r="E9" s="10" t="s">
        <v>95</v>
      </c>
      <c r="F9" s="10" t="s">
        <v>18</v>
      </c>
      <c r="G9" s="10" t="s">
        <v>27</v>
      </c>
      <c r="H9" s="10" t="s">
        <v>96</v>
      </c>
      <c r="I9" s="10" t="s">
        <v>97</v>
      </c>
      <c r="J9" s="11" t="n">
        <f aca="false">COUNTIF(Relación!$C$5:$C$53,A9)</f>
        <v>1</v>
      </c>
      <c r="K9" s="10" t="s">
        <v>98</v>
      </c>
    </row>
    <row r="10" customFormat="false" ht="15" hidden="false" customHeight="false" outlineLevel="0" collapsed="false">
      <c r="A10" s="9" t="s">
        <v>99</v>
      </c>
      <c r="B10" s="9" t="s">
        <v>78</v>
      </c>
      <c r="C10" s="9" t="n">
        <v>1</v>
      </c>
      <c r="D10" s="10" t="s">
        <v>79</v>
      </c>
      <c r="E10" s="10" t="s">
        <v>100</v>
      </c>
      <c r="F10" s="10" t="s">
        <v>18</v>
      </c>
      <c r="G10" s="10" t="s">
        <v>27</v>
      </c>
      <c r="H10" s="10" t="s">
        <v>101</v>
      </c>
      <c r="I10" s="10" t="s">
        <v>102</v>
      </c>
      <c r="J10" s="11" t="n">
        <f aca="false">COUNTIF(Relación!$C$5:$C$53,A10)</f>
        <v>1</v>
      </c>
      <c r="K10" s="10"/>
    </row>
    <row r="11" customFormat="false" ht="15" hidden="false" customHeight="false" outlineLevel="0" collapsed="false">
      <c r="A11" s="9" t="s">
        <v>103</v>
      </c>
      <c r="B11" s="9" t="s">
        <v>78</v>
      </c>
      <c r="C11" s="9" t="n">
        <v>1</v>
      </c>
      <c r="D11" s="10" t="s">
        <v>79</v>
      </c>
      <c r="E11" s="10" t="s">
        <v>104</v>
      </c>
      <c r="F11" s="10" t="s">
        <v>18</v>
      </c>
      <c r="G11" s="10" t="s">
        <v>27</v>
      </c>
      <c r="H11" s="10" t="s">
        <v>105</v>
      </c>
      <c r="I11" s="10" t="s">
        <v>106</v>
      </c>
      <c r="J11" s="11" t="n">
        <f aca="false">COUNTIF(Relación!$C$5:$C$53,A11)</f>
        <v>2</v>
      </c>
      <c r="K11" s="10"/>
    </row>
    <row r="12" customFormat="false" ht="23.85" hidden="false" customHeight="false" outlineLevel="0" collapsed="false">
      <c r="A12" s="9" t="s">
        <v>107</v>
      </c>
      <c r="B12" s="9" t="s">
        <v>78</v>
      </c>
      <c r="C12" s="9" t="n">
        <v>1</v>
      </c>
      <c r="D12" s="10" t="s">
        <v>79</v>
      </c>
      <c r="E12" s="10" t="s">
        <v>108</v>
      </c>
      <c r="F12" s="10" t="s">
        <v>18</v>
      </c>
      <c r="G12" s="10" t="s">
        <v>29</v>
      </c>
      <c r="H12" s="10" t="s">
        <v>109</v>
      </c>
      <c r="I12" s="10" t="s">
        <v>82</v>
      </c>
      <c r="J12" s="11" t="n">
        <f aca="false">COUNTIF(Relación!$C$5:$C$53,A12)</f>
        <v>1</v>
      </c>
      <c r="K12" s="10"/>
    </row>
    <row r="13" customFormat="false" ht="23.85" hidden="false" customHeight="false" outlineLevel="0" collapsed="false">
      <c r="A13" s="9" t="s">
        <v>110</v>
      </c>
      <c r="B13" s="9" t="s">
        <v>78</v>
      </c>
      <c r="C13" s="9" t="n">
        <v>2</v>
      </c>
      <c r="D13" s="10" t="s">
        <v>111</v>
      </c>
      <c r="E13" s="10" t="s">
        <v>112</v>
      </c>
      <c r="F13" s="10" t="s">
        <v>18</v>
      </c>
      <c r="G13" s="10" t="s">
        <v>25</v>
      </c>
      <c r="H13" s="10" t="s">
        <v>113</v>
      </c>
      <c r="I13" s="10" t="s">
        <v>114</v>
      </c>
      <c r="J13" s="11" t="n">
        <f aca="false">COUNTIF(Relación!$C$5:$C$53,A13)</f>
        <v>1</v>
      </c>
      <c r="K13" s="10" t="s">
        <v>115</v>
      </c>
    </row>
    <row r="14" customFormat="false" ht="23.85" hidden="false" customHeight="false" outlineLevel="0" collapsed="false">
      <c r="A14" s="9" t="s">
        <v>116</v>
      </c>
      <c r="B14" s="9" t="s">
        <v>78</v>
      </c>
      <c r="C14" s="9" t="n">
        <v>2</v>
      </c>
      <c r="D14" s="10" t="s">
        <v>111</v>
      </c>
      <c r="E14" s="10" t="s">
        <v>117</v>
      </c>
      <c r="F14" s="10" t="s">
        <v>18</v>
      </c>
      <c r="G14" s="10" t="s">
        <v>29</v>
      </c>
      <c r="H14" s="10" t="s">
        <v>118</v>
      </c>
      <c r="I14" s="10" t="s">
        <v>119</v>
      </c>
      <c r="J14" s="11" t="n">
        <f aca="false">COUNTIF(Relación!$C$5:$C$53,A14)</f>
        <v>1</v>
      </c>
      <c r="K14" s="10"/>
    </row>
    <row r="15" customFormat="false" ht="23.85" hidden="false" customHeight="false" outlineLevel="0" collapsed="false">
      <c r="A15" s="9" t="s">
        <v>120</v>
      </c>
      <c r="B15" s="9" t="s">
        <v>78</v>
      </c>
      <c r="C15" s="9" t="n">
        <v>2</v>
      </c>
      <c r="D15" s="10" t="s">
        <v>111</v>
      </c>
      <c r="E15" s="10" t="s">
        <v>121</v>
      </c>
      <c r="F15" s="10" t="s">
        <v>18</v>
      </c>
      <c r="G15" s="10" t="s">
        <v>29</v>
      </c>
      <c r="H15" s="10" t="s">
        <v>122</v>
      </c>
      <c r="I15" s="10" t="s">
        <v>123</v>
      </c>
      <c r="J15" s="11" t="n">
        <f aca="false">COUNTIF(Relación!$C$5:$C$53,A15)</f>
        <v>1</v>
      </c>
      <c r="K15" s="10"/>
    </row>
    <row r="16" customFormat="false" ht="23.85" hidden="false" customHeight="false" outlineLevel="0" collapsed="false">
      <c r="A16" s="9" t="s">
        <v>124</v>
      </c>
      <c r="B16" s="9" t="s">
        <v>78</v>
      </c>
      <c r="C16" s="9" t="n">
        <v>2</v>
      </c>
      <c r="D16" s="10" t="s">
        <v>111</v>
      </c>
      <c r="E16" s="10" t="s">
        <v>125</v>
      </c>
      <c r="F16" s="10" t="s">
        <v>18</v>
      </c>
      <c r="G16" s="10" t="s">
        <v>27</v>
      </c>
      <c r="H16" s="10" t="s">
        <v>126</v>
      </c>
      <c r="I16" s="10" t="s">
        <v>127</v>
      </c>
      <c r="J16" s="11" t="n">
        <f aca="false">COUNTIF(Relación!$C$5:$C$53,A16)</f>
        <v>1</v>
      </c>
      <c r="K16" s="10" t="s">
        <v>128</v>
      </c>
    </row>
    <row r="17" customFormat="false" ht="23.85" hidden="false" customHeight="false" outlineLevel="0" collapsed="false">
      <c r="A17" s="9" t="s">
        <v>129</v>
      </c>
      <c r="B17" s="9" t="s">
        <v>78</v>
      </c>
      <c r="C17" s="9" t="n">
        <v>2</v>
      </c>
      <c r="D17" s="10" t="s">
        <v>111</v>
      </c>
      <c r="E17" s="10" t="s">
        <v>130</v>
      </c>
      <c r="F17" s="10" t="s">
        <v>18</v>
      </c>
      <c r="G17" s="10" t="s">
        <v>27</v>
      </c>
      <c r="H17" s="10" t="s">
        <v>131</v>
      </c>
      <c r="I17" s="10" t="s">
        <v>127</v>
      </c>
      <c r="J17" s="11" t="n">
        <f aca="false">COUNTIF(Relación!$C$5:$C$53,A17)</f>
        <v>1</v>
      </c>
      <c r="K17" s="10" t="s">
        <v>132</v>
      </c>
    </row>
    <row r="18" customFormat="false" ht="23.85" hidden="false" customHeight="false" outlineLevel="0" collapsed="false">
      <c r="A18" s="9" t="s">
        <v>133</v>
      </c>
      <c r="B18" s="9" t="s">
        <v>78</v>
      </c>
      <c r="C18" s="9" t="n">
        <v>2</v>
      </c>
      <c r="D18" s="10" t="s">
        <v>111</v>
      </c>
      <c r="E18" s="10" t="s">
        <v>134</v>
      </c>
      <c r="F18" s="10" t="s">
        <v>20</v>
      </c>
      <c r="G18" s="10" t="s">
        <v>31</v>
      </c>
      <c r="H18" s="10" t="s">
        <v>135</v>
      </c>
      <c r="I18" s="10" t="s">
        <v>127</v>
      </c>
      <c r="J18" s="11" t="n">
        <f aca="false">COUNTIF(Relación!$C$5:$C$53,A18)</f>
        <v>1</v>
      </c>
      <c r="K18" s="10" t="s">
        <v>136</v>
      </c>
    </row>
    <row r="19" customFormat="false" ht="23.85" hidden="false" customHeight="false" outlineLevel="0" collapsed="false">
      <c r="A19" s="9" t="s">
        <v>137</v>
      </c>
      <c r="B19" s="9" t="s">
        <v>78</v>
      </c>
      <c r="C19" s="9" t="n">
        <v>2</v>
      </c>
      <c r="D19" s="10" t="s">
        <v>111</v>
      </c>
      <c r="E19" s="10" t="s">
        <v>138</v>
      </c>
      <c r="F19" s="10" t="s">
        <v>20</v>
      </c>
      <c r="G19" s="10" t="s">
        <v>31</v>
      </c>
      <c r="H19" s="10" t="s">
        <v>139</v>
      </c>
      <c r="I19" s="10" t="s">
        <v>140</v>
      </c>
      <c r="J19" s="11" t="n">
        <f aca="false">COUNTIF(Relación!$C$5:$C$53,A19)</f>
        <v>2</v>
      </c>
      <c r="K19" s="10" t="s">
        <v>136</v>
      </c>
    </row>
    <row r="20" customFormat="false" ht="23.85" hidden="false" customHeight="false" outlineLevel="0" collapsed="false">
      <c r="A20" s="9" t="s">
        <v>141</v>
      </c>
      <c r="B20" s="9" t="s">
        <v>78</v>
      </c>
      <c r="C20" s="9" t="n">
        <v>2</v>
      </c>
      <c r="D20" s="10" t="s">
        <v>111</v>
      </c>
      <c r="E20" s="10" t="s">
        <v>142</v>
      </c>
      <c r="F20" s="10" t="s">
        <v>20</v>
      </c>
      <c r="G20" s="10" t="s">
        <v>31</v>
      </c>
      <c r="H20" s="10" t="s">
        <v>143</v>
      </c>
      <c r="I20" s="10" t="s">
        <v>144</v>
      </c>
      <c r="J20" s="11" t="n">
        <f aca="false">COUNTIF(Relación!$C$5:$C$53,A20)</f>
        <v>1</v>
      </c>
      <c r="K20" s="10" t="s">
        <v>136</v>
      </c>
    </row>
    <row r="21" customFormat="false" ht="23.85" hidden="false" customHeight="false" outlineLevel="0" collapsed="false">
      <c r="A21" s="9" t="s">
        <v>145</v>
      </c>
      <c r="B21" s="9" t="s">
        <v>78</v>
      </c>
      <c r="C21" s="9" t="n">
        <v>2</v>
      </c>
      <c r="D21" s="10" t="s">
        <v>111</v>
      </c>
      <c r="E21" s="10" t="s">
        <v>146</v>
      </c>
      <c r="F21" s="10" t="s">
        <v>18</v>
      </c>
      <c r="G21" s="10" t="s">
        <v>23</v>
      </c>
      <c r="H21" s="10" t="s">
        <v>147</v>
      </c>
      <c r="I21" s="10" t="s">
        <v>148</v>
      </c>
      <c r="J21" s="11" t="n">
        <f aca="false">COUNTIF(Relación!$C$5:$C$53,A21)</f>
        <v>2</v>
      </c>
      <c r="K21" s="10"/>
    </row>
    <row r="22" customFormat="false" ht="23.85" hidden="false" customHeight="false" outlineLevel="0" collapsed="false">
      <c r="A22" s="9" t="s">
        <v>149</v>
      </c>
      <c r="B22" s="9" t="s">
        <v>78</v>
      </c>
      <c r="C22" s="9" t="n">
        <v>2</v>
      </c>
      <c r="D22" s="10" t="s">
        <v>111</v>
      </c>
      <c r="E22" s="10" t="s">
        <v>150</v>
      </c>
      <c r="F22" s="10" t="s">
        <v>18</v>
      </c>
      <c r="G22" s="10" t="s">
        <v>23</v>
      </c>
      <c r="H22" s="10" t="s">
        <v>151</v>
      </c>
      <c r="I22" s="10" t="s">
        <v>152</v>
      </c>
      <c r="J22" s="11" t="n">
        <f aca="false">COUNTIF(Relación!$C$5:$C$53,A22)</f>
        <v>1</v>
      </c>
      <c r="K22" s="10" t="s">
        <v>153</v>
      </c>
    </row>
    <row r="23" customFormat="false" ht="23.85" hidden="false" customHeight="false" outlineLevel="0" collapsed="false">
      <c r="A23" s="9" t="s">
        <v>154</v>
      </c>
      <c r="B23" s="9" t="s">
        <v>78</v>
      </c>
      <c r="C23" s="9" t="n">
        <v>2</v>
      </c>
      <c r="D23" s="10" t="s">
        <v>111</v>
      </c>
      <c r="E23" s="10" t="s">
        <v>155</v>
      </c>
      <c r="F23" s="10" t="s">
        <v>18</v>
      </c>
      <c r="G23" s="10" t="s">
        <v>29</v>
      </c>
      <c r="H23" s="10" t="s">
        <v>156</v>
      </c>
      <c r="I23" s="10" t="s">
        <v>157</v>
      </c>
      <c r="J23" s="11" t="n">
        <f aca="false">COUNTIF(Relación!$C$5:$C$53,A23)</f>
        <v>2</v>
      </c>
      <c r="K23" s="10" t="s">
        <v>158</v>
      </c>
    </row>
    <row r="24" customFormat="false" ht="23.85" hidden="false" customHeight="false" outlineLevel="0" collapsed="false">
      <c r="A24" s="9" t="s">
        <v>159</v>
      </c>
      <c r="B24" s="9" t="s">
        <v>78</v>
      </c>
      <c r="C24" s="9" t="n">
        <v>3</v>
      </c>
      <c r="D24" s="10" t="s">
        <v>160</v>
      </c>
      <c r="E24" s="10" t="s">
        <v>161</v>
      </c>
      <c r="F24" s="10" t="s">
        <v>18</v>
      </c>
      <c r="G24" s="10" t="s">
        <v>23</v>
      </c>
      <c r="H24" s="10" t="s">
        <v>162</v>
      </c>
      <c r="I24" s="10" t="s">
        <v>163</v>
      </c>
      <c r="J24" s="11" t="n">
        <f aca="false">COUNTIF(Relación!$C$5:$C$53,A24)</f>
        <v>1</v>
      </c>
      <c r="K24" s="10" t="s">
        <v>164</v>
      </c>
    </row>
    <row r="25" customFormat="false" ht="23.85" hidden="false" customHeight="false" outlineLevel="0" collapsed="false">
      <c r="A25" s="9" t="s">
        <v>165</v>
      </c>
      <c r="B25" s="9" t="s">
        <v>78</v>
      </c>
      <c r="C25" s="9" t="n">
        <v>3</v>
      </c>
      <c r="D25" s="10" t="s">
        <v>160</v>
      </c>
      <c r="E25" s="10" t="s">
        <v>166</v>
      </c>
      <c r="F25" s="10" t="s">
        <v>18</v>
      </c>
      <c r="G25" s="10" t="s">
        <v>27</v>
      </c>
      <c r="H25" s="10" t="s">
        <v>167</v>
      </c>
      <c r="I25" s="10" t="s">
        <v>168</v>
      </c>
      <c r="J25" s="11" t="n">
        <f aca="false">COUNTIF(Relación!$C$5:$C$53,A25)</f>
        <v>1</v>
      </c>
      <c r="K25" s="10"/>
    </row>
    <row r="26" customFormat="false" ht="23.85" hidden="false" customHeight="false" outlineLevel="0" collapsed="false">
      <c r="A26" s="9" t="s">
        <v>169</v>
      </c>
      <c r="B26" s="9" t="s">
        <v>78</v>
      </c>
      <c r="C26" s="9" t="n">
        <v>3</v>
      </c>
      <c r="D26" s="10" t="s">
        <v>160</v>
      </c>
      <c r="E26" s="10" t="s">
        <v>170</v>
      </c>
      <c r="F26" s="10" t="s">
        <v>18</v>
      </c>
      <c r="G26" s="10" t="s">
        <v>29</v>
      </c>
      <c r="H26" s="10" t="s">
        <v>171</v>
      </c>
      <c r="I26" s="10" t="s">
        <v>172</v>
      </c>
      <c r="J26" s="11" t="n">
        <f aca="false">COUNTIF(Relación!$C$5:$C$53,A26)</f>
        <v>1</v>
      </c>
      <c r="K26" s="10"/>
    </row>
    <row r="27" customFormat="false" ht="23.85" hidden="false" customHeight="false" outlineLevel="0" collapsed="false">
      <c r="A27" s="9" t="s">
        <v>173</v>
      </c>
      <c r="B27" s="9" t="s">
        <v>78</v>
      </c>
      <c r="C27" s="9" t="n">
        <v>3</v>
      </c>
      <c r="D27" s="10" t="s">
        <v>160</v>
      </c>
      <c r="E27" s="10" t="s">
        <v>174</v>
      </c>
      <c r="F27" s="10" t="s">
        <v>18</v>
      </c>
      <c r="G27" s="10" t="s">
        <v>23</v>
      </c>
      <c r="H27" s="10" t="s">
        <v>175</v>
      </c>
      <c r="I27" s="10" t="s">
        <v>163</v>
      </c>
      <c r="J27" s="11" t="n">
        <f aca="false">COUNTIF(Relación!$C$5:$C$53,A27)</f>
        <v>1</v>
      </c>
      <c r="K27" s="10"/>
    </row>
    <row r="28" customFormat="false" ht="15" hidden="false" customHeight="false" outlineLevel="0" collapsed="false">
      <c r="A28" s="9" t="s">
        <v>176</v>
      </c>
      <c r="B28" s="9" t="s">
        <v>78</v>
      </c>
      <c r="C28" s="9" t="n">
        <v>3</v>
      </c>
      <c r="D28" s="10" t="s">
        <v>160</v>
      </c>
      <c r="E28" s="10" t="s">
        <v>177</v>
      </c>
      <c r="F28" s="10" t="s">
        <v>18</v>
      </c>
      <c r="G28" s="10" t="s">
        <v>25</v>
      </c>
      <c r="H28" s="10" t="s">
        <v>178</v>
      </c>
      <c r="I28" s="10" t="s">
        <v>172</v>
      </c>
      <c r="J28" s="11" t="n">
        <f aca="false">COUNTIF(Relación!$C$5:$C$53,A28)</f>
        <v>1</v>
      </c>
      <c r="K28" s="10"/>
    </row>
    <row r="29" customFormat="false" ht="15" hidden="false" customHeight="false" outlineLevel="0" collapsed="false">
      <c r="A29" s="9" t="s">
        <v>179</v>
      </c>
      <c r="B29" s="9" t="s">
        <v>78</v>
      </c>
      <c r="C29" s="9" t="n">
        <v>3</v>
      </c>
      <c r="D29" s="10" t="s">
        <v>160</v>
      </c>
      <c r="E29" s="10" t="s">
        <v>180</v>
      </c>
      <c r="F29" s="10" t="s">
        <v>18</v>
      </c>
      <c r="G29" s="10" t="s">
        <v>27</v>
      </c>
      <c r="H29" s="10" t="s">
        <v>181</v>
      </c>
      <c r="I29" s="10" t="s">
        <v>182</v>
      </c>
      <c r="J29" s="11" t="n">
        <f aca="false">COUNTIF(Relación!$C$5:$C$53,A29)</f>
        <v>1</v>
      </c>
      <c r="K29" s="10"/>
    </row>
    <row r="30" customFormat="false" ht="23.85" hidden="false" customHeight="false" outlineLevel="0" collapsed="false">
      <c r="A30" s="9" t="s">
        <v>183</v>
      </c>
      <c r="B30" s="9" t="s">
        <v>78</v>
      </c>
      <c r="C30" s="9" t="n">
        <v>3</v>
      </c>
      <c r="D30" s="10" t="s">
        <v>160</v>
      </c>
      <c r="E30" s="10" t="s">
        <v>184</v>
      </c>
      <c r="F30" s="10" t="s">
        <v>18</v>
      </c>
      <c r="G30" s="10" t="s">
        <v>29</v>
      </c>
      <c r="H30" s="10" t="s">
        <v>185</v>
      </c>
      <c r="I30" s="10" t="s">
        <v>186</v>
      </c>
      <c r="J30" s="11" t="n">
        <f aca="false">COUNTIF(Relación!$C$5:$C$53,A30)</f>
        <v>1</v>
      </c>
      <c r="K30" s="10"/>
    </row>
    <row r="31" customFormat="false" ht="23.85" hidden="false" customHeight="false" outlineLevel="0" collapsed="false">
      <c r="A31" s="9" t="s">
        <v>187</v>
      </c>
      <c r="B31" s="9" t="s">
        <v>78</v>
      </c>
      <c r="C31" s="9" t="n">
        <v>3</v>
      </c>
      <c r="D31" s="10" t="s">
        <v>160</v>
      </c>
      <c r="E31" s="10" t="s">
        <v>188</v>
      </c>
      <c r="F31" s="10" t="s">
        <v>18</v>
      </c>
      <c r="G31" s="10" t="s">
        <v>27</v>
      </c>
      <c r="H31" s="10" t="s">
        <v>189</v>
      </c>
      <c r="I31" s="10" t="s">
        <v>127</v>
      </c>
      <c r="J31" s="11" t="n">
        <f aca="false">COUNTIF(Relación!$C$5:$C$53,A31)</f>
        <v>1</v>
      </c>
      <c r="K31" s="10"/>
    </row>
    <row r="32" customFormat="false" ht="23.85" hidden="false" customHeight="false" outlineLevel="0" collapsed="false">
      <c r="A32" s="9" t="s">
        <v>190</v>
      </c>
      <c r="B32" s="9" t="s">
        <v>78</v>
      </c>
      <c r="C32" s="9" t="n">
        <v>4</v>
      </c>
      <c r="D32" s="10" t="s">
        <v>191</v>
      </c>
      <c r="E32" s="10" t="s">
        <v>192</v>
      </c>
      <c r="F32" s="10" t="s">
        <v>18</v>
      </c>
      <c r="G32" s="10" t="s">
        <v>29</v>
      </c>
      <c r="H32" s="10" t="s">
        <v>193</v>
      </c>
      <c r="I32" s="10" t="s">
        <v>194</v>
      </c>
      <c r="J32" s="11" t="n">
        <f aca="false">COUNTIF(Relación!$C$5:$C$53,A32)</f>
        <v>1</v>
      </c>
      <c r="K32" s="10"/>
    </row>
    <row r="33" customFormat="false" ht="23.85" hidden="false" customHeight="false" outlineLevel="0" collapsed="false">
      <c r="A33" s="9" t="s">
        <v>195</v>
      </c>
      <c r="B33" s="9" t="s">
        <v>78</v>
      </c>
      <c r="C33" s="9" t="n">
        <v>4</v>
      </c>
      <c r="D33" s="10" t="s">
        <v>191</v>
      </c>
      <c r="E33" s="10" t="s">
        <v>196</v>
      </c>
      <c r="F33" s="10" t="s">
        <v>18</v>
      </c>
      <c r="G33" s="10" t="s">
        <v>29</v>
      </c>
      <c r="H33" s="10" t="s">
        <v>197</v>
      </c>
      <c r="I33" s="10" t="s">
        <v>194</v>
      </c>
      <c r="J33" s="11" t="n">
        <f aca="false">COUNTIF(Relación!$C$5:$C$53,A33)</f>
        <v>1</v>
      </c>
      <c r="K33" s="10"/>
    </row>
    <row r="34" customFormat="false" ht="23.85" hidden="false" customHeight="false" outlineLevel="0" collapsed="false">
      <c r="A34" s="9" t="s">
        <v>198</v>
      </c>
      <c r="B34" s="9" t="s">
        <v>78</v>
      </c>
      <c r="C34" s="9" t="n">
        <v>4</v>
      </c>
      <c r="D34" s="10" t="s">
        <v>191</v>
      </c>
      <c r="E34" s="10" t="s">
        <v>199</v>
      </c>
      <c r="F34" s="10" t="s">
        <v>18</v>
      </c>
      <c r="G34" s="10" t="s">
        <v>29</v>
      </c>
      <c r="H34" s="10" t="s">
        <v>200</v>
      </c>
      <c r="I34" s="10" t="s">
        <v>123</v>
      </c>
      <c r="J34" s="11" t="n">
        <f aca="false">COUNTIF(Relación!$C$5:$C$53,A34)</f>
        <v>1</v>
      </c>
      <c r="K34" s="10"/>
    </row>
    <row r="35" customFormat="false" ht="23.85" hidden="false" customHeight="false" outlineLevel="0" collapsed="false">
      <c r="A35" s="9" t="s">
        <v>201</v>
      </c>
      <c r="B35" s="9" t="s">
        <v>78</v>
      </c>
      <c r="C35" s="9" t="n">
        <v>4</v>
      </c>
      <c r="D35" s="10" t="s">
        <v>191</v>
      </c>
      <c r="E35" s="10" t="s">
        <v>202</v>
      </c>
      <c r="F35" s="10" t="s">
        <v>18</v>
      </c>
      <c r="G35" s="10" t="s">
        <v>23</v>
      </c>
      <c r="H35" s="10" t="s">
        <v>203</v>
      </c>
      <c r="I35" s="10" t="s">
        <v>204</v>
      </c>
      <c r="J35" s="11" t="n">
        <f aca="false">COUNTIF(Relación!$C$5:$C$53,A35)</f>
        <v>1</v>
      </c>
      <c r="K35" s="10"/>
    </row>
    <row r="36" customFormat="false" ht="23.85" hidden="false" customHeight="false" outlineLevel="0" collapsed="false">
      <c r="A36" s="9" t="s">
        <v>205</v>
      </c>
      <c r="B36" s="9" t="s">
        <v>78</v>
      </c>
      <c r="C36" s="9" t="n">
        <v>4</v>
      </c>
      <c r="D36" s="10" t="s">
        <v>191</v>
      </c>
      <c r="E36" s="10" t="s">
        <v>206</v>
      </c>
      <c r="F36" s="10" t="s">
        <v>18</v>
      </c>
      <c r="G36" s="10" t="s">
        <v>29</v>
      </c>
      <c r="H36" s="10" t="s">
        <v>207</v>
      </c>
      <c r="I36" s="10" t="s">
        <v>194</v>
      </c>
      <c r="J36" s="11" t="n">
        <f aca="false">COUNTIF(Relación!$C$5:$C$53,A36)</f>
        <v>1</v>
      </c>
      <c r="K36" s="10"/>
    </row>
    <row r="37" customFormat="false" ht="23.85" hidden="false" customHeight="false" outlineLevel="0" collapsed="false">
      <c r="A37" s="9" t="s">
        <v>208</v>
      </c>
      <c r="B37" s="9" t="s">
        <v>78</v>
      </c>
      <c r="C37" s="9" t="n">
        <v>4</v>
      </c>
      <c r="D37" s="10" t="s">
        <v>191</v>
      </c>
      <c r="E37" s="10" t="s">
        <v>209</v>
      </c>
      <c r="F37" s="10" t="s">
        <v>18</v>
      </c>
      <c r="G37" s="10" t="s">
        <v>29</v>
      </c>
      <c r="H37" s="10" t="s">
        <v>210</v>
      </c>
      <c r="I37" s="10" t="s">
        <v>211</v>
      </c>
      <c r="J37" s="11" t="n">
        <f aca="false">COUNTIF(Relación!$C$5:$C$53,A37)</f>
        <v>1</v>
      </c>
      <c r="K37" s="10"/>
    </row>
    <row r="38" customFormat="false" ht="23.85" hidden="false" customHeight="false" outlineLevel="0" collapsed="false">
      <c r="A38" s="9" t="s">
        <v>212</v>
      </c>
      <c r="B38" s="9" t="s">
        <v>78</v>
      </c>
      <c r="C38" s="9" t="n">
        <v>5</v>
      </c>
      <c r="D38" s="10" t="s">
        <v>213</v>
      </c>
      <c r="E38" s="10" t="s">
        <v>214</v>
      </c>
      <c r="F38" s="10" t="s">
        <v>18</v>
      </c>
      <c r="G38" s="10" t="s">
        <v>29</v>
      </c>
      <c r="H38" s="10" t="s">
        <v>215</v>
      </c>
      <c r="I38" s="10" t="s">
        <v>216</v>
      </c>
      <c r="J38" s="11" t="n">
        <f aca="false">COUNTIF(Relación!$C$5:$C$53,A38)</f>
        <v>1</v>
      </c>
      <c r="K38" s="10"/>
    </row>
    <row r="39" customFormat="false" ht="15" hidden="false" customHeight="false" outlineLevel="0" collapsed="false">
      <c r="A39" s="9" t="s">
        <v>217</v>
      </c>
      <c r="B39" s="9" t="s">
        <v>78</v>
      </c>
      <c r="C39" s="9" t="n">
        <v>5</v>
      </c>
      <c r="D39" s="10" t="s">
        <v>213</v>
      </c>
      <c r="E39" s="10" t="s">
        <v>218</v>
      </c>
      <c r="F39" s="10" t="s">
        <v>18</v>
      </c>
      <c r="G39" s="10" t="s">
        <v>27</v>
      </c>
      <c r="H39" s="10" t="s">
        <v>219</v>
      </c>
      <c r="I39" s="10" t="s">
        <v>216</v>
      </c>
      <c r="J39" s="11" t="n">
        <f aca="false">COUNTIF(Relación!$C$5:$C$53,A39)</f>
        <v>1</v>
      </c>
      <c r="K39" s="10"/>
    </row>
    <row r="40" customFormat="false" ht="23.85" hidden="false" customHeight="false" outlineLevel="0" collapsed="false">
      <c r="A40" s="9" t="s">
        <v>220</v>
      </c>
      <c r="B40" s="9" t="s">
        <v>78</v>
      </c>
      <c r="C40" s="9" t="n">
        <v>5</v>
      </c>
      <c r="D40" s="10" t="s">
        <v>213</v>
      </c>
      <c r="E40" s="10" t="s">
        <v>221</v>
      </c>
      <c r="F40" s="10" t="s">
        <v>18</v>
      </c>
      <c r="G40" s="10" t="s">
        <v>29</v>
      </c>
      <c r="H40" s="10" t="s">
        <v>222</v>
      </c>
      <c r="I40" s="10" t="s">
        <v>216</v>
      </c>
      <c r="J40" s="11" t="n">
        <f aca="false">COUNTIF(Relación!$C$5:$C$53,A40)</f>
        <v>1</v>
      </c>
      <c r="K40" s="10"/>
    </row>
    <row r="41" customFormat="false" ht="23.85" hidden="false" customHeight="false" outlineLevel="0" collapsed="false">
      <c r="A41" s="9" t="s">
        <v>223</v>
      </c>
      <c r="B41" s="9" t="s">
        <v>78</v>
      </c>
      <c r="C41" s="9" t="n">
        <v>5</v>
      </c>
      <c r="D41" s="10" t="s">
        <v>213</v>
      </c>
      <c r="E41" s="10" t="s">
        <v>224</v>
      </c>
      <c r="F41" s="10" t="s">
        <v>18</v>
      </c>
      <c r="G41" s="10" t="s">
        <v>29</v>
      </c>
      <c r="H41" s="10" t="s">
        <v>225</v>
      </c>
      <c r="I41" s="10" t="s">
        <v>216</v>
      </c>
      <c r="J41" s="11" t="n">
        <f aca="false">COUNTIF(Relación!$C$5:$C$53,A41)</f>
        <v>1</v>
      </c>
      <c r="K41" s="10"/>
    </row>
    <row r="42" customFormat="false" ht="15" hidden="false" customHeight="false" outlineLevel="0" collapsed="false">
      <c r="A42" s="9" t="s">
        <v>226</v>
      </c>
      <c r="B42" s="9" t="s">
        <v>78</v>
      </c>
      <c r="C42" s="9" t="n">
        <v>6</v>
      </c>
      <c r="D42" s="10" t="s">
        <v>227</v>
      </c>
      <c r="E42" s="10" t="s">
        <v>228</v>
      </c>
      <c r="F42" s="10" t="s">
        <v>20</v>
      </c>
      <c r="G42" s="10" t="s">
        <v>31</v>
      </c>
      <c r="H42" s="10" t="s">
        <v>229</v>
      </c>
      <c r="I42" s="10" t="s">
        <v>230</v>
      </c>
      <c r="J42" s="11" t="n">
        <f aca="false">COUNTIF(Relación!$C$5:$C$53,A42)</f>
        <v>1</v>
      </c>
      <c r="K42" s="10" t="s">
        <v>231</v>
      </c>
    </row>
    <row r="43" customFormat="false" ht="23.85" hidden="false" customHeight="false" outlineLevel="0" collapsed="false">
      <c r="A43" s="9" t="s">
        <v>232</v>
      </c>
      <c r="B43" s="9" t="s">
        <v>78</v>
      </c>
      <c r="C43" s="9" t="n">
        <v>6</v>
      </c>
      <c r="D43" s="10" t="s">
        <v>227</v>
      </c>
      <c r="E43" s="10" t="s">
        <v>233</v>
      </c>
      <c r="F43" s="10" t="s">
        <v>20</v>
      </c>
      <c r="G43" s="10" t="s">
        <v>31</v>
      </c>
      <c r="H43" s="10" t="s">
        <v>234</v>
      </c>
      <c r="I43" s="10" t="s">
        <v>235</v>
      </c>
      <c r="J43" s="11" t="n">
        <f aca="false">COUNTIF(Relación!$C$5:$C$53,A43)</f>
        <v>2</v>
      </c>
      <c r="K43" s="10" t="s">
        <v>136</v>
      </c>
    </row>
    <row r="44" customFormat="false" ht="23.85" hidden="false" customHeight="false" outlineLevel="0" collapsed="false">
      <c r="A44" s="9" t="s">
        <v>236</v>
      </c>
      <c r="B44" s="9" t="s">
        <v>78</v>
      </c>
      <c r="C44" s="9" t="n">
        <v>6</v>
      </c>
      <c r="D44" s="10" t="s">
        <v>227</v>
      </c>
      <c r="E44" s="10" t="s">
        <v>237</v>
      </c>
      <c r="F44" s="10" t="s">
        <v>18</v>
      </c>
      <c r="G44" s="10" t="s">
        <v>29</v>
      </c>
      <c r="H44" s="10" t="s">
        <v>238</v>
      </c>
      <c r="I44" s="10" t="s">
        <v>239</v>
      </c>
      <c r="J44" s="11" t="n">
        <f aca="false">COUNTIF(Relación!$C$5:$C$53,A44)</f>
        <v>1</v>
      </c>
      <c r="K44" s="10"/>
    </row>
    <row r="45" customFormat="false" ht="23.85" hidden="false" customHeight="false" outlineLevel="0" collapsed="false">
      <c r="A45" s="9" t="s">
        <v>240</v>
      </c>
      <c r="B45" s="9" t="s">
        <v>78</v>
      </c>
      <c r="C45" s="9" t="n">
        <v>6</v>
      </c>
      <c r="D45" s="10" t="s">
        <v>227</v>
      </c>
      <c r="E45" s="10" t="s">
        <v>241</v>
      </c>
      <c r="F45" s="10" t="s">
        <v>18</v>
      </c>
      <c r="G45" s="10" t="s">
        <v>23</v>
      </c>
      <c r="H45" s="10" t="s">
        <v>242</v>
      </c>
      <c r="I45" s="10" t="s">
        <v>152</v>
      </c>
      <c r="J45" s="11" t="n">
        <f aca="false">COUNTIF(Relación!$C$5:$C$53,A45)</f>
        <v>1</v>
      </c>
      <c r="K45" s="10"/>
    </row>
    <row r="46" customFormat="false" ht="23.85" hidden="false" customHeight="false" outlineLevel="0" collapsed="false">
      <c r="A46" s="9" t="s">
        <v>243</v>
      </c>
      <c r="B46" s="9" t="s">
        <v>78</v>
      </c>
      <c r="C46" s="9" t="n">
        <v>7</v>
      </c>
      <c r="D46" s="10" t="s">
        <v>244</v>
      </c>
      <c r="E46" s="10" t="s">
        <v>245</v>
      </c>
      <c r="F46" s="10" t="s">
        <v>18</v>
      </c>
      <c r="G46" s="10" t="s">
        <v>23</v>
      </c>
      <c r="H46" s="10" t="s">
        <v>246</v>
      </c>
      <c r="I46" s="10" t="s">
        <v>247</v>
      </c>
      <c r="J46" s="11" t="n">
        <f aca="false">COUNTIF(Relación!$C$5:$C$53,A46)</f>
        <v>1</v>
      </c>
      <c r="K46" s="10"/>
    </row>
    <row r="47" customFormat="false" ht="23.85" hidden="false" customHeight="false" outlineLevel="0" collapsed="false">
      <c r="A47" s="9" t="s">
        <v>248</v>
      </c>
      <c r="B47" s="9" t="s">
        <v>78</v>
      </c>
      <c r="C47" s="9" t="n">
        <v>7</v>
      </c>
      <c r="D47" s="10" t="s">
        <v>244</v>
      </c>
      <c r="E47" s="10" t="s">
        <v>249</v>
      </c>
      <c r="F47" s="10" t="s">
        <v>18</v>
      </c>
      <c r="G47" s="10" t="s">
        <v>23</v>
      </c>
      <c r="H47" s="10" t="s">
        <v>250</v>
      </c>
      <c r="I47" s="10" t="s">
        <v>247</v>
      </c>
      <c r="J47" s="11" t="n">
        <f aca="false">COUNTIF(Relación!$C$5:$C$53,A47)</f>
        <v>1</v>
      </c>
      <c r="K47" s="10"/>
    </row>
    <row r="48" customFormat="false" ht="23.85" hidden="false" customHeight="false" outlineLevel="0" collapsed="false">
      <c r="A48" s="9" t="s">
        <v>251</v>
      </c>
      <c r="B48" s="9" t="s">
        <v>78</v>
      </c>
      <c r="C48" s="9" t="n">
        <v>7</v>
      </c>
      <c r="D48" s="10" t="s">
        <v>244</v>
      </c>
      <c r="E48" s="10" t="s">
        <v>252</v>
      </c>
      <c r="F48" s="10" t="s">
        <v>18</v>
      </c>
      <c r="G48" s="10" t="s">
        <v>23</v>
      </c>
      <c r="H48" s="10" t="s">
        <v>253</v>
      </c>
      <c r="I48" s="10" t="s">
        <v>254</v>
      </c>
      <c r="J48" s="11" t="n">
        <f aca="false">COUNTIF(Relación!$C$5:$C$53,A48)</f>
        <v>1</v>
      </c>
      <c r="K48" s="10"/>
    </row>
  </sheetData>
  <autoFilter ref="A4:K48"/>
  <conditionalFormatting sqref="A5:K48">
    <cfRule type="expression" priority="2" aboveAverage="0" equalAverage="0" bottom="0" percent="0" rank="0" text="" dxfId="4">
      <formula>$F5="Oportunidad (ingreso expuesto)"</formula>
    </cfRule>
  </conditionalFormatting>
  <conditionalFormatting sqref="J5:J48">
    <cfRule type="expression" priority="3" aboveAverage="0" equalAverage="0" bottom="0" percent="0" rank="0" text="" dxfId="5">
      <formula>$J5=0</formula>
    </cfRule>
  </conditionalFormatting>
  <dataValidations count="3">
    <dataValidation allowBlank="true" error="Elige un valor de la lista (hoja Listas)." errorStyle="stop" errorTitle="Valor no válido" operator="between" showDropDown="false" showErrorMessage="false" showInputMessage="false" sqref="D5:D48" type="list">
      <formula1>Listas!$A$2:$A$8</formula1>
      <formula2>0</formula2>
    </dataValidation>
    <dataValidation allowBlank="true" error="Elige un valor de la lista (hoja Listas)." errorStyle="stop" errorTitle="Valor no válido" operator="between" showDropDown="false" showErrorMessage="false" showInputMessage="false" sqref="F5:F48" type="list">
      <formula1>Listas!$B$2:$B$3</formula1>
      <formula2>0</formula2>
    </dataValidation>
    <dataValidation allowBlank="true" error="Elige un valor de la lista (hoja Listas)." errorStyle="stop" errorTitle="Valor no válido" operator="between" showDropDown="false" showErrorMessage="false" showInputMessage="false" sqref="G5:G48" type="list">
      <formula1>Listas!$C$2:$C$6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1"/>
    <col collapsed="false" customWidth="true" hidden="false" outlineLevel="0" max="9" min="9" style="0" width="30"/>
    <col collapsed="false" customWidth="true" hidden="false" outlineLevel="0" max="10" min="10" style="0" width="62"/>
  </cols>
  <sheetData>
    <row r="1" customFormat="false" ht="17.35" hidden="false" customHeight="false" outlineLevel="0" collapsed="false">
      <c r="A1" s="6" t="s">
        <v>255</v>
      </c>
    </row>
    <row r="2" customFormat="false" ht="15" hidden="false" customHeight="false" outlineLevel="0" collapsed="false">
      <c r="A2" s="7" t="s">
        <v>256</v>
      </c>
    </row>
    <row r="4" customFormat="false" ht="23.85" hidden="false" customHeight="false" outlineLevel="0" collapsed="false">
      <c r="A4" s="8" t="s">
        <v>69</v>
      </c>
      <c r="B4" s="8" t="s">
        <v>70</v>
      </c>
      <c r="C4" s="8" t="s">
        <v>257</v>
      </c>
      <c r="D4" s="8" t="s">
        <v>258</v>
      </c>
      <c r="E4" s="8" t="s">
        <v>259</v>
      </c>
      <c r="F4" s="8" t="s">
        <v>260</v>
      </c>
      <c r="G4" s="8" t="s">
        <v>261</v>
      </c>
      <c r="H4" s="8" t="s">
        <v>262</v>
      </c>
      <c r="I4" s="8" t="s">
        <v>263</v>
      </c>
      <c r="J4" s="8" t="s">
        <v>264</v>
      </c>
    </row>
    <row r="5" customFormat="false" ht="23.85" hidden="false" customHeight="false" outlineLevel="0" collapsed="false">
      <c r="A5" s="9" t="s">
        <v>82</v>
      </c>
      <c r="B5" s="9" t="s">
        <v>78</v>
      </c>
      <c r="C5" s="10" t="s">
        <v>265</v>
      </c>
      <c r="D5" s="9" t="s">
        <v>38</v>
      </c>
      <c r="E5" s="9"/>
      <c r="F5" s="9" t="s">
        <v>266</v>
      </c>
      <c r="G5" s="10" t="s">
        <v>267</v>
      </c>
      <c r="H5" s="9" t="n">
        <f aca="false">COUNTIF(Relación!$A$5:$A$53,A5)</f>
        <v>2</v>
      </c>
      <c r="I5" s="10" t="s">
        <v>268</v>
      </c>
      <c r="J5" s="10" t="s">
        <v>269</v>
      </c>
    </row>
    <row r="6" customFormat="false" ht="23.85" hidden="false" customHeight="false" outlineLevel="0" collapsed="false">
      <c r="A6" s="9" t="s">
        <v>86</v>
      </c>
      <c r="B6" s="9" t="s">
        <v>78</v>
      </c>
      <c r="C6" s="10" t="s">
        <v>270</v>
      </c>
      <c r="D6" s="9" t="s">
        <v>34</v>
      </c>
      <c r="E6" s="9"/>
      <c r="F6" s="9" t="s">
        <v>271</v>
      </c>
      <c r="G6" s="10" t="s">
        <v>83</v>
      </c>
      <c r="H6" s="9" t="n">
        <f aca="false">COUNTIF(Relación!$A$5:$A$53,A6)</f>
        <v>1</v>
      </c>
      <c r="I6" s="10" t="s">
        <v>272</v>
      </c>
      <c r="J6" s="10" t="s">
        <v>273</v>
      </c>
    </row>
    <row r="7" customFormat="false" ht="23.85" hidden="false" customHeight="false" outlineLevel="0" collapsed="false">
      <c r="A7" s="9" t="s">
        <v>90</v>
      </c>
      <c r="B7" s="9" t="s">
        <v>78</v>
      </c>
      <c r="C7" s="10" t="s">
        <v>274</v>
      </c>
      <c r="D7" s="9" t="s">
        <v>34</v>
      </c>
      <c r="E7" s="9"/>
      <c r="F7" s="9" t="s">
        <v>271</v>
      </c>
      <c r="G7" s="10" t="s">
        <v>275</v>
      </c>
      <c r="H7" s="9" t="n">
        <f aca="false">COUNTIF(Relación!$A$5:$A$53,A7)</f>
        <v>2</v>
      </c>
      <c r="I7" s="10" t="s">
        <v>276</v>
      </c>
      <c r="J7" s="10" t="s">
        <v>277</v>
      </c>
    </row>
    <row r="8" customFormat="false" ht="15" hidden="false" customHeight="false" outlineLevel="0" collapsed="false">
      <c r="A8" s="9" t="s">
        <v>97</v>
      </c>
      <c r="B8" s="9" t="s">
        <v>78</v>
      </c>
      <c r="C8" s="10" t="s">
        <v>278</v>
      </c>
      <c r="D8" s="9" t="s">
        <v>36</v>
      </c>
      <c r="E8" s="9"/>
      <c r="F8" s="9" t="s">
        <v>271</v>
      </c>
      <c r="G8" s="10" t="s">
        <v>94</v>
      </c>
      <c r="H8" s="9" t="n">
        <f aca="false">COUNTIF(Relación!$A$5:$A$53,A8)</f>
        <v>1</v>
      </c>
      <c r="I8" s="10" t="s">
        <v>279</v>
      </c>
      <c r="J8" s="10" t="s">
        <v>280</v>
      </c>
    </row>
    <row r="9" customFormat="false" ht="23.85" hidden="false" customHeight="false" outlineLevel="0" collapsed="false">
      <c r="A9" s="9" t="s">
        <v>102</v>
      </c>
      <c r="B9" s="9" t="s">
        <v>78</v>
      </c>
      <c r="C9" s="10" t="s">
        <v>281</v>
      </c>
      <c r="D9" s="9" t="s">
        <v>38</v>
      </c>
      <c r="E9" s="9"/>
      <c r="F9" s="9" t="s">
        <v>271</v>
      </c>
      <c r="G9" s="10" t="s">
        <v>282</v>
      </c>
      <c r="H9" s="9" t="n">
        <f aca="false">COUNTIF(Relación!$A$5:$A$53,A9)</f>
        <v>2</v>
      </c>
      <c r="I9" s="10" t="s">
        <v>283</v>
      </c>
      <c r="J9" s="10" t="s">
        <v>284</v>
      </c>
    </row>
    <row r="10" customFormat="false" ht="23.85" hidden="false" customHeight="false" outlineLevel="0" collapsed="false">
      <c r="A10" s="9" t="s">
        <v>114</v>
      </c>
      <c r="B10" s="9" t="s">
        <v>78</v>
      </c>
      <c r="C10" s="10" t="s">
        <v>285</v>
      </c>
      <c r="D10" s="9" t="s">
        <v>34</v>
      </c>
      <c r="E10" s="9"/>
      <c r="F10" s="9" t="s">
        <v>271</v>
      </c>
      <c r="G10" s="10" t="s">
        <v>286</v>
      </c>
      <c r="H10" s="9" t="n">
        <f aca="false">COUNTIF(Relación!$A$5:$A$53,A10)</f>
        <v>2</v>
      </c>
      <c r="I10" s="10" t="s">
        <v>287</v>
      </c>
      <c r="J10" s="10" t="s">
        <v>288</v>
      </c>
    </row>
    <row r="11" customFormat="false" ht="23.85" hidden="false" customHeight="false" outlineLevel="0" collapsed="false">
      <c r="A11" s="9" t="s">
        <v>119</v>
      </c>
      <c r="B11" s="9" t="s">
        <v>78</v>
      </c>
      <c r="C11" s="10" t="s">
        <v>289</v>
      </c>
      <c r="D11" s="9" t="s">
        <v>38</v>
      </c>
      <c r="E11" s="9"/>
      <c r="F11" s="9" t="s">
        <v>266</v>
      </c>
      <c r="G11" s="10" t="s">
        <v>116</v>
      </c>
      <c r="H11" s="9" t="n">
        <f aca="false">COUNTIF(Relación!$A$5:$A$53,A11)</f>
        <v>1</v>
      </c>
      <c r="I11" s="10" t="s">
        <v>290</v>
      </c>
      <c r="J11" s="10" t="s">
        <v>291</v>
      </c>
    </row>
    <row r="12" customFormat="false" ht="23.85" hidden="false" customHeight="false" outlineLevel="0" collapsed="false">
      <c r="A12" s="9" t="s">
        <v>123</v>
      </c>
      <c r="B12" s="9" t="s">
        <v>78</v>
      </c>
      <c r="C12" s="10" t="s">
        <v>292</v>
      </c>
      <c r="D12" s="9" t="s">
        <v>34</v>
      </c>
      <c r="E12" s="9"/>
      <c r="F12" s="9" t="s">
        <v>271</v>
      </c>
      <c r="G12" s="10" t="s">
        <v>293</v>
      </c>
      <c r="H12" s="9" t="n">
        <f aca="false">COUNTIF(Relación!$A$5:$A$53,A12)</f>
        <v>2</v>
      </c>
      <c r="I12" s="10" t="s">
        <v>294</v>
      </c>
      <c r="J12" s="10" t="s">
        <v>295</v>
      </c>
    </row>
    <row r="13" customFormat="false" ht="23.85" hidden="false" customHeight="false" outlineLevel="0" collapsed="false">
      <c r="A13" s="9" t="s">
        <v>127</v>
      </c>
      <c r="B13" s="9" t="s">
        <v>78</v>
      </c>
      <c r="C13" s="10" t="s">
        <v>296</v>
      </c>
      <c r="D13" s="9" t="s">
        <v>34</v>
      </c>
      <c r="E13" s="9" t="s">
        <v>38</v>
      </c>
      <c r="F13" s="9" t="s">
        <v>271</v>
      </c>
      <c r="G13" s="10" t="s">
        <v>297</v>
      </c>
      <c r="H13" s="9" t="n">
        <f aca="false">COUNTIF(Relación!$A$5:$A$53,A13)</f>
        <v>4</v>
      </c>
      <c r="I13" s="10" t="s">
        <v>298</v>
      </c>
      <c r="J13" s="10" t="s">
        <v>299</v>
      </c>
    </row>
    <row r="14" customFormat="false" ht="23.85" hidden="false" customHeight="false" outlineLevel="0" collapsed="false">
      <c r="A14" s="9" t="s">
        <v>300</v>
      </c>
      <c r="B14" s="9" t="s">
        <v>78</v>
      </c>
      <c r="C14" s="10" t="s">
        <v>301</v>
      </c>
      <c r="D14" s="9" t="s">
        <v>38</v>
      </c>
      <c r="E14" s="9"/>
      <c r="F14" s="9" t="s">
        <v>271</v>
      </c>
      <c r="G14" s="10" t="s">
        <v>137</v>
      </c>
      <c r="H14" s="9" t="n">
        <f aca="false">COUNTIF(Relación!$A$5:$A$53,A14)</f>
        <v>1</v>
      </c>
      <c r="I14" s="10" t="s">
        <v>302</v>
      </c>
      <c r="J14" s="10" t="s">
        <v>303</v>
      </c>
    </row>
    <row r="15" customFormat="false" ht="23.85" hidden="false" customHeight="false" outlineLevel="0" collapsed="false">
      <c r="A15" s="9" t="s">
        <v>144</v>
      </c>
      <c r="B15" s="9" t="s">
        <v>78</v>
      </c>
      <c r="C15" s="10" t="s">
        <v>304</v>
      </c>
      <c r="D15" s="9" t="s">
        <v>34</v>
      </c>
      <c r="E15" s="9" t="s">
        <v>46</v>
      </c>
      <c r="F15" s="9" t="s">
        <v>271</v>
      </c>
      <c r="G15" s="10" t="s">
        <v>305</v>
      </c>
      <c r="H15" s="9" t="n">
        <f aca="false">COUNTIF(Relación!$A$5:$A$53,A15)</f>
        <v>2</v>
      </c>
      <c r="I15" s="10" t="s">
        <v>306</v>
      </c>
      <c r="J15" s="10" t="s">
        <v>307</v>
      </c>
    </row>
    <row r="16" customFormat="false" ht="23.85" hidden="false" customHeight="false" outlineLevel="0" collapsed="false">
      <c r="A16" s="9" t="s">
        <v>152</v>
      </c>
      <c r="B16" s="9" t="s">
        <v>78</v>
      </c>
      <c r="C16" s="10" t="s">
        <v>308</v>
      </c>
      <c r="D16" s="9" t="s">
        <v>38</v>
      </c>
      <c r="E16" s="9"/>
      <c r="F16" s="9" t="s">
        <v>271</v>
      </c>
      <c r="G16" s="10" t="s">
        <v>309</v>
      </c>
      <c r="H16" s="9" t="n">
        <f aca="false">COUNTIF(Relación!$A$5:$A$53,A16)</f>
        <v>2</v>
      </c>
      <c r="I16" s="10" t="s">
        <v>310</v>
      </c>
      <c r="J16" s="10" t="s">
        <v>311</v>
      </c>
    </row>
    <row r="17" customFormat="false" ht="15" hidden="false" customHeight="false" outlineLevel="0" collapsed="false">
      <c r="A17" s="9" t="s">
        <v>312</v>
      </c>
      <c r="B17" s="9" t="s">
        <v>78</v>
      </c>
      <c r="C17" s="10" t="s">
        <v>313</v>
      </c>
      <c r="D17" s="9" t="s">
        <v>34</v>
      </c>
      <c r="E17" s="9"/>
      <c r="F17" s="9" t="s">
        <v>271</v>
      </c>
      <c r="G17" s="10" t="s">
        <v>154</v>
      </c>
      <c r="H17" s="9" t="n">
        <f aca="false">COUNTIF(Relación!$A$5:$A$53,A17)</f>
        <v>1</v>
      </c>
      <c r="I17" s="10" t="s">
        <v>314</v>
      </c>
      <c r="J17" s="10" t="s">
        <v>315</v>
      </c>
    </row>
    <row r="18" customFormat="false" ht="23.85" hidden="false" customHeight="false" outlineLevel="0" collapsed="false">
      <c r="A18" s="9" t="s">
        <v>163</v>
      </c>
      <c r="B18" s="9" t="s">
        <v>78</v>
      </c>
      <c r="C18" s="10" t="s">
        <v>316</v>
      </c>
      <c r="D18" s="9" t="s">
        <v>38</v>
      </c>
      <c r="E18" s="9"/>
      <c r="F18" s="9" t="s">
        <v>266</v>
      </c>
      <c r="G18" s="10" t="s">
        <v>317</v>
      </c>
      <c r="H18" s="9" t="n">
        <f aca="false">COUNTIF(Relación!$A$5:$A$53,A18)</f>
        <v>2</v>
      </c>
      <c r="I18" s="10" t="s">
        <v>162</v>
      </c>
      <c r="J18" s="10" t="s">
        <v>318</v>
      </c>
    </row>
    <row r="19" customFormat="false" ht="23.85" hidden="false" customHeight="false" outlineLevel="0" collapsed="false">
      <c r="A19" s="9" t="s">
        <v>168</v>
      </c>
      <c r="B19" s="9" t="s">
        <v>78</v>
      </c>
      <c r="C19" s="10" t="s">
        <v>319</v>
      </c>
      <c r="D19" s="9" t="s">
        <v>36</v>
      </c>
      <c r="E19" s="9"/>
      <c r="F19" s="9" t="s">
        <v>271</v>
      </c>
      <c r="G19" s="10" t="s">
        <v>165</v>
      </c>
      <c r="H19" s="9" t="n">
        <f aca="false">COUNTIF(Relación!$A$5:$A$53,A19)</f>
        <v>1</v>
      </c>
      <c r="I19" s="10" t="s">
        <v>320</v>
      </c>
      <c r="J19" s="10" t="s">
        <v>321</v>
      </c>
    </row>
    <row r="20" customFormat="false" ht="23.85" hidden="false" customHeight="false" outlineLevel="0" collapsed="false">
      <c r="A20" s="9" t="s">
        <v>172</v>
      </c>
      <c r="B20" s="9" t="s">
        <v>78</v>
      </c>
      <c r="C20" s="10" t="s">
        <v>322</v>
      </c>
      <c r="D20" s="9" t="s">
        <v>38</v>
      </c>
      <c r="E20" s="9"/>
      <c r="F20" s="9" t="s">
        <v>271</v>
      </c>
      <c r="G20" s="10" t="s">
        <v>323</v>
      </c>
      <c r="H20" s="9" t="n">
        <f aca="false">COUNTIF(Relación!$A$5:$A$53,A20)</f>
        <v>2</v>
      </c>
      <c r="I20" s="10" t="s">
        <v>324</v>
      </c>
      <c r="J20" s="10" t="s">
        <v>325</v>
      </c>
    </row>
    <row r="21" customFormat="false" ht="23.85" hidden="false" customHeight="false" outlineLevel="0" collapsed="false">
      <c r="A21" s="9" t="s">
        <v>182</v>
      </c>
      <c r="B21" s="9" t="s">
        <v>78</v>
      </c>
      <c r="C21" s="10" t="s">
        <v>326</v>
      </c>
      <c r="D21" s="9" t="s">
        <v>48</v>
      </c>
      <c r="E21" s="9"/>
      <c r="F21" s="9" t="s">
        <v>271</v>
      </c>
      <c r="G21" s="10" t="s">
        <v>179</v>
      </c>
      <c r="H21" s="9" t="n">
        <f aca="false">COUNTIF(Relación!$A$5:$A$53,A21)</f>
        <v>1</v>
      </c>
      <c r="I21" s="10" t="s">
        <v>327</v>
      </c>
      <c r="J21" s="10" t="s">
        <v>328</v>
      </c>
    </row>
    <row r="22" customFormat="false" ht="15" hidden="false" customHeight="false" outlineLevel="0" collapsed="false">
      <c r="A22" s="9" t="s">
        <v>186</v>
      </c>
      <c r="B22" s="9" t="s">
        <v>78</v>
      </c>
      <c r="C22" s="10" t="s">
        <v>329</v>
      </c>
      <c r="D22" s="9" t="s">
        <v>40</v>
      </c>
      <c r="E22" s="9"/>
      <c r="F22" s="9" t="s">
        <v>271</v>
      </c>
      <c r="G22" s="10" t="s">
        <v>183</v>
      </c>
      <c r="H22" s="9" t="n">
        <f aca="false">COUNTIF(Relación!$A$5:$A$53,A22)</f>
        <v>1</v>
      </c>
      <c r="I22" s="10" t="s">
        <v>330</v>
      </c>
      <c r="J22" s="10" t="s">
        <v>331</v>
      </c>
    </row>
    <row r="23" customFormat="false" ht="23.85" hidden="false" customHeight="false" outlineLevel="0" collapsed="false">
      <c r="A23" s="9" t="s">
        <v>194</v>
      </c>
      <c r="B23" s="9" t="s">
        <v>78</v>
      </c>
      <c r="C23" s="10" t="s">
        <v>332</v>
      </c>
      <c r="D23" s="9" t="s">
        <v>40</v>
      </c>
      <c r="E23" s="9"/>
      <c r="F23" s="9" t="s">
        <v>266</v>
      </c>
      <c r="G23" s="10" t="s">
        <v>333</v>
      </c>
      <c r="H23" s="9" t="n">
        <f aca="false">COUNTIF(Relación!$A$5:$A$53,A23)</f>
        <v>3</v>
      </c>
      <c r="I23" s="10" t="s">
        <v>334</v>
      </c>
      <c r="J23" s="10" t="s">
        <v>335</v>
      </c>
    </row>
    <row r="24" customFormat="false" ht="15" hidden="false" customHeight="false" outlineLevel="0" collapsed="false">
      <c r="A24" s="9" t="s">
        <v>204</v>
      </c>
      <c r="B24" s="9" t="s">
        <v>78</v>
      </c>
      <c r="C24" s="10" t="s">
        <v>336</v>
      </c>
      <c r="D24" s="9" t="s">
        <v>34</v>
      </c>
      <c r="E24" s="9"/>
      <c r="F24" s="9" t="s">
        <v>271</v>
      </c>
      <c r="G24" s="10" t="s">
        <v>201</v>
      </c>
      <c r="H24" s="9" t="n">
        <f aca="false">COUNTIF(Relación!$A$5:$A$53,A24)</f>
        <v>1</v>
      </c>
      <c r="I24" s="10" t="s">
        <v>203</v>
      </c>
      <c r="J24" s="10" t="s">
        <v>337</v>
      </c>
    </row>
    <row r="25" customFormat="false" ht="15" hidden="false" customHeight="false" outlineLevel="0" collapsed="false">
      <c r="A25" s="9" t="s">
        <v>211</v>
      </c>
      <c r="B25" s="9" t="s">
        <v>78</v>
      </c>
      <c r="C25" s="10" t="s">
        <v>338</v>
      </c>
      <c r="D25" s="9" t="s">
        <v>36</v>
      </c>
      <c r="E25" s="9" t="s">
        <v>48</v>
      </c>
      <c r="F25" s="9" t="s">
        <v>271</v>
      </c>
      <c r="G25" s="10" t="s">
        <v>208</v>
      </c>
      <c r="H25" s="9" t="n">
        <f aca="false">COUNTIF(Relación!$A$5:$A$53,A25)</f>
        <v>1</v>
      </c>
      <c r="I25" s="10" t="s">
        <v>339</v>
      </c>
      <c r="J25" s="10" t="s">
        <v>340</v>
      </c>
    </row>
    <row r="26" customFormat="false" ht="23.85" hidden="false" customHeight="false" outlineLevel="0" collapsed="false">
      <c r="A26" s="9" t="s">
        <v>216</v>
      </c>
      <c r="B26" s="9" t="s">
        <v>78</v>
      </c>
      <c r="C26" s="10" t="s">
        <v>341</v>
      </c>
      <c r="D26" s="9" t="s">
        <v>38</v>
      </c>
      <c r="E26" s="9"/>
      <c r="F26" s="9" t="s">
        <v>271</v>
      </c>
      <c r="G26" s="10" t="s">
        <v>342</v>
      </c>
      <c r="H26" s="9" t="n">
        <f aca="false">COUNTIF(Relación!$A$5:$A$53,A26)</f>
        <v>4</v>
      </c>
      <c r="I26" s="10" t="s">
        <v>343</v>
      </c>
      <c r="J26" s="10" t="s">
        <v>344</v>
      </c>
    </row>
    <row r="27" customFormat="false" ht="23.85" hidden="false" customHeight="false" outlineLevel="0" collapsed="false">
      <c r="A27" s="9" t="s">
        <v>230</v>
      </c>
      <c r="B27" s="9" t="s">
        <v>78</v>
      </c>
      <c r="C27" s="10" t="s">
        <v>345</v>
      </c>
      <c r="D27" s="9" t="s">
        <v>38</v>
      </c>
      <c r="E27" s="9"/>
      <c r="F27" s="9" t="s">
        <v>271</v>
      </c>
      <c r="G27" s="10" t="s">
        <v>346</v>
      </c>
      <c r="H27" s="9" t="n">
        <f aca="false">COUNTIF(Relación!$A$5:$A$53,A27)</f>
        <v>2</v>
      </c>
      <c r="I27" s="10" t="s">
        <v>347</v>
      </c>
      <c r="J27" s="10" t="s">
        <v>348</v>
      </c>
    </row>
    <row r="28" customFormat="false" ht="23.85" hidden="false" customHeight="false" outlineLevel="0" collapsed="false">
      <c r="A28" s="9" t="s">
        <v>239</v>
      </c>
      <c r="B28" s="9" t="s">
        <v>78</v>
      </c>
      <c r="C28" s="10" t="s">
        <v>349</v>
      </c>
      <c r="D28" s="9" t="s">
        <v>34</v>
      </c>
      <c r="E28" s="9"/>
      <c r="F28" s="9" t="s">
        <v>266</v>
      </c>
      <c r="G28" s="10" t="s">
        <v>350</v>
      </c>
      <c r="H28" s="9" t="n">
        <f aca="false">COUNTIF(Relación!$A$5:$A$53,A28)</f>
        <v>2</v>
      </c>
      <c r="I28" s="10" t="s">
        <v>351</v>
      </c>
      <c r="J28" s="10" t="s">
        <v>352</v>
      </c>
    </row>
    <row r="29" customFormat="false" ht="23.85" hidden="false" customHeight="false" outlineLevel="0" collapsed="false">
      <c r="A29" s="9" t="s">
        <v>353</v>
      </c>
      <c r="B29" s="9" t="s">
        <v>78</v>
      </c>
      <c r="C29" s="10" t="s">
        <v>354</v>
      </c>
      <c r="D29" s="9" t="s">
        <v>44</v>
      </c>
      <c r="E29" s="9"/>
      <c r="F29" s="9" t="s">
        <v>271</v>
      </c>
      <c r="G29" s="10" t="s">
        <v>355</v>
      </c>
      <c r="H29" s="9" t="n">
        <f aca="false">COUNTIF(Relación!$A$5:$A$53,A29)</f>
        <v>3</v>
      </c>
      <c r="I29" s="10" t="s">
        <v>356</v>
      </c>
      <c r="J29" s="10" t="s">
        <v>357</v>
      </c>
    </row>
    <row r="30" customFormat="false" ht="15" hidden="false" customHeight="false" outlineLevel="0" collapsed="false">
      <c r="A30" s="9" t="s">
        <v>247</v>
      </c>
      <c r="B30" s="9" t="s">
        <v>78</v>
      </c>
      <c r="C30" s="10" t="s">
        <v>358</v>
      </c>
      <c r="D30" s="9" t="s">
        <v>34</v>
      </c>
      <c r="E30" s="9"/>
      <c r="F30" s="9" t="s">
        <v>271</v>
      </c>
      <c r="G30" s="10" t="s">
        <v>359</v>
      </c>
      <c r="H30" s="9" t="n">
        <f aca="false">COUNTIF(Relación!$A$5:$A$53,A30)</f>
        <v>2</v>
      </c>
      <c r="I30" s="10" t="s">
        <v>360</v>
      </c>
      <c r="J30" s="10" t="s">
        <v>361</v>
      </c>
    </row>
    <row r="31" customFormat="false" ht="23.85" hidden="false" customHeight="false" outlineLevel="0" collapsed="false">
      <c r="A31" s="9" t="s">
        <v>254</v>
      </c>
      <c r="B31" s="9" t="s">
        <v>78</v>
      </c>
      <c r="C31" s="10" t="s">
        <v>362</v>
      </c>
      <c r="D31" s="9" t="s">
        <v>48</v>
      </c>
      <c r="E31" s="9"/>
      <c r="F31" s="9" t="s">
        <v>271</v>
      </c>
      <c r="G31" s="10" t="s">
        <v>251</v>
      </c>
      <c r="H31" s="9" t="n">
        <f aca="false">COUNTIF(Relación!$A$5:$A$53,A31)</f>
        <v>1</v>
      </c>
      <c r="I31" s="10" t="s">
        <v>363</v>
      </c>
      <c r="J31" s="10" t="s">
        <v>364</v>
      </c>
    </row>
  </sheetData>
  <autoFilter ref="A4:J31"/>
  <dataValidations count="2">
    <dataValidation allowBlank="true" error="Elige un valor de la lista (hoja Listas)." errorStyle="stop" errorTitle="Valor no válido" operator="between" showDropDown="false" showErrorMessage="false" showInputMessage="false" sqref="D5:E31" type="list">
      <formula1>Listas!$D$2:$D$9</formula1>
      <formula2>0</formula2>
    </dataValidation>
    <dataValidation allowBlank="true" error="Elige un valor de la lista (hoja Listas)." errorStyle="stop" errorTitle="Valor no válido" operator="between" showDropDown="false" showErrorMessage="false" showInputMessage="false" sqref="F5:F31" type="list">
      <formula1>Listas!$E$2:$E$3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60"/>
    <col collapsed="false" customWidth="true" hidden="false" outlineLevel="0" max="5" min="5" style="0" width="28"/>
  </cols>
  <sheetData>
    <row r="1" customFormat="false" ht="17.35" hidden="false" customHeight="false" outlineLevel="0" collapsed="false">
      <c r="A1" s="6" t="s">
        <v>365</v>
      </c>
    </row>
    <row r="2" customFormat="false" ht="15" hidden="false" customHeight="false" outlineLevel="0" collapsed="false">
      <c r="A2" s="7" t="s">
        <v>366</v>
      </c>
    </row>
    <row r="4" customFormat="false" ht="15" hidden="false" customHeight="false" outlineLevel="0" collapsed="false">
      <c r="A4" s="8" t="s">
        <v>257</v>
      </c>
      <c r="B4" s="8" t="s">
        <v>367</v>
      </c>
      <c r="C4" s="8" t="s">
        <v>73</v>
      </c>
      <c r="D4" s="8" t="s">
        <v>368</v>
      </c>
      <c r="E4" s="8" t="s">
        <v>369</v>
      </c>
    </row>
    <row r="5" customFormat="false" ht="15" hidden="false" customHeight="false" outlineLevel="0" collapsed="false">
      <c r="A5" s="9" t="s">
        <v>82</v>
      </c>
      <c r="B5" s="10" t="str">
        <f aca="false">INDEX(Palancas!$C$5:$C$31,MATCH(A5,Palancas!$A$5:$A$31,0))</f>
        <v>Previsión estadística por familia y material, a 12–18 meses</v>
      </c>
      <c r="C5" s="9" t="s">
        <v>77</v>
      </c>
      <c r="D5" s="10" t="str">
        <f aca="false">INDEX(Hallazgos!$E$5:$E$48,MATCH(C5,Hallazgos!$A$5:$A$48,0))</f>
        <v>No hay previsión estadística: es el criterio de Comercial o una copia del año anterior</v>
      </c>
      <c r="E5" s="10" t="str">
        <f aca="false">INDEX(Hallazgos!$D$5:$D$48,MATCH(C5,Hallazgos!$A$5:$A$48,0))</f>
        <v>Demanda y previsión</v>
      </c>
    </row>
    <row r="6" customFormat="false" ht="23.85" hidden="false" customHeight="false" outlineLevel="0" collapsed="false">
      <c r="A6" s="9" t="s">
        <v>82</v>
      </c>
      <c r="B6" s="10" t="str">
        <f aca="false">INDEX(Palancas!$C$5:$C$31,MATCH(A6,Palancas!$A$5:$A$31,0))</f>
        <v>Previsión estadística por familia y material, a 12–18 meses</v>
      </c>
      <c r="C6" s="9" t="s">
        <v>107</v>
      </c>
      <c r="D6" s="10" t="str">
        <f aca="false">INDEX(Hallazgos!$E$5:$E$48,MATCH(C6,Hallazgos!$A$5:$A$48,0))</f>
        <v>El horizonte de previsión es más corto que el plazo de las decisiones que alimenta (turnos, compras de plazo largo, intercompany)</v>
      </c>
      <c r="E6" s="10" t="str">
        <f aca="false">INDEX(Hallazgos!$D$5:$D$48,MATCH(C6,Hallazgos!$A$5:$A$48,0))</f>
        <v>Demanda y previsión</v>
      </c>
    </row>
    <row r="7" customFormat="false" ht="15" hidden="false" customHeight="false" outlineLevel="0" collapsed="false">
      <c r="A7" s="9" t="s">
        <v>86</v>
      </c>
      <c r="B7" s="10" t="str">
        <f aca="false">INDEX(Palancas!$C$5:$C$31,MATCH(A7,Palancas!$A$5:$A$31,0))</f>
        <v>Calendario de demanda con día de cierre y mes en curso congelado</v>
      </c>
      <c r="C7" s="9" t="s">
        <v>83</v>
      </c>
      <c r="D7" s="10" t="str">
        <f aca="false">INDEX(Hallazgos!$E$5:$E$48,MATCH(C7,Hallazgos!$A$5:$A$48,0))</f>
        <v>La previsión no tiene día de cierre y se cambia dentro del mes en curso</v>
      </c>
      <c r="E7" s="10" t="str">
        <f aca="false">INDEX(Hallazgos!$D$5:$D$48,MATCH(C7,Hallazgos!$A$5:$A$48,0))</f>
        <v>Demanda y previsión</v>
      </c>
    </row>
    <row r="8" customFormat="false" ht="23.85" hidden="false" customHeight="false" outlineLevel="0" collapsed="false">
      <c r="A8" s="9" t="s">
        <v>90</v>
      </c>
      <c r="B8" s="10" t="str">
        <f aca="false">INDEX(Palancas!$C$5:$C$31,MATCH(A8,Palancas!$A$5:$A$31,0))</f>
        <v>Revisión mensual de demanda con consenso: se planifica la demanda esperada, no el objetivo</v>
      </c>
      <c r="C8" s="9" t="s">
        <v>87</v>
      </c>
      <c r="D8" s="10" t="str">
        <f aca="false">INDEX(Hallazgos!$E$5:$E$48,MATCH(C8,Hallazgos!$A$5:$A$48,0))</f>
        <v>No hay consenso de demanda entre Comercial y Planificación, o hay reunión pero no decide</v>
      </c>
      <c r="E8" s="10" t="str">
        <f aca="false">INDEX(Hallazgos!$D$5:$D$48,MATCH(C8,Hallazgos!$A$5:$A$48,0))</f>
        <v>Demanda y previsión</v>
      </c>
    </row>
    <row r="9" customFormat="false" ht="23.85" hidden="false" customHeight="false" outlineLevel="0" collapsed="false">
      <c r="A9" s="9" t="s">
        <v>90</v>
      </c>
      <c r="B9" s="10" t="str">
        <f aca="false">INDEX(Palancas!$C$5:$C$31,MATCH(A9,Palancas!$A$5:$A$31,0))</f>
        <v>Revisión mensual de demanda con consenso: se planifica la demanda esperada, no el objetivo</v>
      </c>
      <c r="C9" s="9" t="s">
        <v>91</v>
      </c>
      <c r="D9" s="10" t="str">
        <f aca="false">INDEX(Hallazgos!$E$5:$E$48,MATCH(C9,Hallazgos!$A$5:$A$48,0))</f>
        <v>La previsión se usa como objetivo de ventas o presupuesto, no como demanda esperada</v>
      </c>
      <c r="E9" s="10" t="str">
        <f aca="false">INDEX(Hallazgos!$D$5:$D$48,MATCH(C9,Hallazgos!$A$5:$A$48,0))</f>
        <v>Demanda y previsión</v>
      </c>
    </row>
    <row r="10" customFormat="false" ht="23.85" hidden="false" customHeight="false" outlineLevel="0" collapsed="false">
      <c r="A10" s="9" t="s">
        <v>97</v>
      </c>
      <c r="B10" s="10" t="str">
        <f aca="false">INDEX(Palancas!$C$5:$C$31,MATCH(A10,Palancas!$A$5:$A$31,0))</f>
        <v>Registro de la demanda perdida con su motivo</v>
      </c>
      <c r="C10" s="9" t="s">
        <v>94</v>
      </c>
      <c r="D10" s="10" t="str">
        <f aca="false">INDEX(Hallazgos!$E$5:$E$48,MATCH(C10,Hallazgos!$A$5:$A$48,0))</f>
        <v>La demanda perdida (agotados, pedidos rechazados) no se registra y el histórico sale sesgado</v>
      </c>
      <c r="E10" s="10" t="str">
        <f aca="false">INDEX(Hallazgos!$D$5:$D$48,MATCH(C10,Hallazgos!$A$5:$A$48,0))</f>
        <v>Demanda y previsión</v>
      </c>
    </row>
    <row r="11" customFormat="false" ht="15" hidden="false" customHeight="false" outlineLevel="0" collapsed="false">
      <c r="A11" s="9" t="s">
        <v>102</v>
      </c>
      <c r="B11" s="10" t="str">
        <f aca="false">INDEX(Palancas!$C$5:$C$31,MATCH(A11,Palancas!$A$5:$A$31,0))</f>
        <v>KPI de precisión y sesgo por familia, con umbral y plan de acción</v>
      </c>
      <c r="C11" s="9" t="s">
        <v>99</v>
      </c>
      <c r="D11" s="10" t="str">
        <f aca="false">INDEX(Hallazgos!$E$5:$E$48,MATCH(C11,Hallazgos!$A$5:$A$48,0))</f>
        <v>No se miden precisión ni sesgo, o se miden sin umbral</v>
      </c>
      <c r="E11" s="10" t="str">
        <f aca="false">INDEX(Hallazgos!$D$5:$D$48,MATCH(C11,Hallazgos!$A$5:$A$48,0))</f>
        <v>Demanda y previsión</v>
      </c>
    </row>
    <row r="12" customFormat="false" ht="15" hidden="false" customHeight="false" outlineLevel="0" collapsed="false">
      <c r="A12" s="9" t="s">
        <v>102</v>
      </c>
      <c r="B12" s="10" t="str">
        <f aca="false">INDEX(Palancas!$C$5:$C$31,MATCH(A12,Palancas!$A$5:$A$31,0))</f>
        <v>KPI de precisión y sesgo por familia, con umbral y plan de acción</v>
      </c>
      <c r="C12" s="9" t="s">
        <v>103</v>
      </c>
      <c r="D12" s="10" t="str">
        <f aca="false">INDEX(Hallazgos!$E$5:$E$48,MATCH(C12,Hallazgos!$A$5:$A$48,0))</f>
        <v>Las desviaciones de previsión no llevan análisis de causa ni acción</v>
      </c>
      <c r="E12" s="10" t="str">
        <f aca="false">INDEX(Hallazgos!$D$5:$D$48,MATCH(C12,Hallazgos!$A$5:$A$48,0))</f>
        <v>Demanda y previsión</v>
      </c>
    </row>
    <row r="13" customFormat="false" ht="23.85" hidden="false" customHeight="false" outlineLevel="0" collapsed="false">
      <c r="A13" s="9" t="s">
        <v>114</v>
      </c>
      <c r="B13" s="10" t="str">
        <f aca="false">INDEX(Palancas!$C$5:$C$31,MATCH(A13,Palancas!$A$5:$A$31,0))</f>
        <v>S&amp;OP mensual con escenarios valorados en € y reunión ejecutiva</v>
      </c>
      <c r="C13" s="9" t="s">
        <v>110</v>
      </c>
      <c r="D13" s="10" t="str">
        <f aca="false">INDEX(Hallazgos!$E$5:$E$48,MATCH(C13,Hallazgos!$A$5:$A$48,0))</f>
        <v>No hay S&amp;OP: el desequilibrio entre demanda y capacidad no se decide con dirección y se arregla abajo, con urgencias</v>
      </c>
      <c r="E13" s="10" t="str">
        <f aca="false">INDEX(Hallazgos!$D$5:$D$48,MATCH(C13,Hallazgos!$A$5:$A$48,0))</f>
        <v>S&amp;OP y Plan Maestro</v>
      </c>
    </row>
    <row r="14" customFormat="false" ht="23.85" hidden="false" customHeight="false" outlineLevel="0" collapsed="false">
      <c r="A14" s="9" t="s">
        <v>114</v>
      </c>
      <c r="B14" s="10" t="str">
        <f aca="false">INDEX(Palancas!$C$5:$C$31,MATCH(A14,Palancas!$A$5:$A$31,0))</f>
        <v>S&amp;OP mensual con escenarios valorados en € y reunión ejecutiva</v>
      </c>
      <c r="C14" s="9" t="s">
        <v>154</v>
      </c>
      <c r="D14" s="10" t="str">
        <f aca="false">INDEX(Hallazgos!$E$5:$E$48,MATCH(C14,Hallazgos!$A$5:$A$48,0))</f>
        <v>Intercompany (opcional): la planta que suministra se entera por un pedido urgente, sin plan conjunto ni mín/máx</v>
      </c>
      <c r="E14" s="10" t="str">
        <f aca="false">INDEX(Hallazgos!$D$5:$D$48,MATCH(C14,Hallazgos!$A$5:$A$48,0))</f>
        <v>S&amp;OP y Plan Maestro</v>
      </c>
    </row>
    <row r="15" customFormat="false" ht="23.85" hidden="false" customHeight="false" outlineLevel="0" collapsed="false">
      <c r="A15" s="9" t="s">
        <v>119</v>
      </c>
      <c r="B15" s="10" t="str">
        <f aca="false">INDEX(Palancas!$C$5:$C$31,MATCH(A15,Palancas!$A$5:$A$31,0))</f>
        <v>Plan de capacidad: carga frente a capacidad por línea, con regla de turnos</v>
      </c>
      <c r="C15" s="9" t="s">
        <v>116</v>
      </c>
      <c r="D15" s="10" t="str">
        <f aca="false">INDEX(Hallazgos!$E$5:$E$48,MATCH(C15,Hallazgos!$A$5:$A$48,0))</f>
        <v>La capacidad no se planifica con datos: turnos y balanceo se deciden por intuición, sin cruzar carga con capacidad</v>
      </c>
      <c r="E15" s="10" t="str">
        <f aca="false">INDEX(Hallazgos!$D$5:$D$48,MATCH(C15,Hallazgos!$A$5:$A$48,0))</f>
        <v>S&amp;OP y Plan Maestro</v>
      </c>
    </row>
    <row r="16" customFormat="false" ht="23.85" hidden="false" customHeight="false" outlineLevel="0" collapsed="false">
      <c r="A16" s="9" t="s">
        <v>123</v>
      </c>
      <c r="B16" s="10" t="str">
        <f aca="false">INDEX(Palancas!$C$5:$C$31,MATCH(A16,Palancas!$A$5:$A$31,0))</f>
        <v>Zonas congeladas en el plan maestro y en el programa</v>
      </c>
      <c r="C16" s="9" t="s">
        <v>120</v>
      </c>
      <c r="D16" s="10" t="str">
        <f aca="false">INDEX(Hallazgos!$E$5:$E$48,MATCH(C16,Hallazgos!$A$5:$A$48,0))</f>
        <v>El plan maestro no tiene aprobación formal ni zona congelada y se cambia después de publicarlo</v>
      </c>
      <c r="E16" s="10" t="str">
        <f aca="false">INDEX(Hallazgos!$D$5:$D$48,MATCH(C16,Hallazgos!$A$5:$A$48,0))</f>
        <v>S&amp;OP y Plan Maestro</v>
      </c>
    </row>
    <row r="17" customFormat="false" ht="15" hidden="false" customHeight="false" outlineLevel="0" collapsed="false">
      <c r="A17" s="9" t="s">
        <v>123</v>
      </c>
      <c r="B17" s="10" t="str">
        <f aca="false">INDEX(Palancas!$C$5:$C$31,MATCH(A17,Palancas!$A$5:$A$31,0))</f>
        <v>Zonas congeladas en el plan maestro y en el programa</v>
      </c>
      <c r="C17" s="9" t="s">
        <v>198</v>
      </c>
      <c r="D17" s="10" t="str">
        <f aca="false">INDEX(Hallazgos!$E$5:$E$48,MATCH(C17,Hallazgos!$A$5:$A$48,0))</f>
        <v>El programa no tiene zona congelada y los cambios de última hora obligan a resecuenciar</v>
      </c>
      <c r="E17" s="10" t="str">
        <f aca="false">INDEX(Hallazgos!$D$5:$D$48,MATCH(C17,Hallazgos!$A$5:$A$48,0))</f>
        <v>Programación</v>
      </c>
    </row>
    <row r="18" customFormat="false" ht="23.85" hidden="false" customHeight="false" outlineLevel="0" collapsed="false">
      <c r="A18" s="9" t="s">
        <v>127</v>
      </c>
      <c r="B18" s="10" t="str">
        <f aca="false">INDEX(Palancas!$C$5:$C$31,MATCH(A18,Palancas!$A$5:$A$31,0))</f>
        <v>Segmentación ABC/XYZ y política de stock por segmento, revisada cada trimestre</v>
      </c>
      <c r="C18" s="9" t="s">
        <v>124</v>
      </c>
      <c r="D18" s="10" t="str">
        <f aca="false">INDEX(Hallazgos!$E$5:$E$48,MATCH(C18,Hallazgos!$A$5:$A$48,0))</f>
        <v>No hay política de stock por segmento: ABC/XYZ, MTS/MTO y stock de seguridad sin definir o sin revisar</v>
      </c>
      <c r="E18" s="10" t="str">
        <f aca="false">INDEX(Hallazgos!$D$5:$D$48,MATCH(C18,Hallazgos!$A$5:$A$48,0))</f>
        <v>S&amp;OP y Plan Maestro</v>
      </c>
    </row>
    <row r="19" customFormat="false" ht="23.85" hidden="false" customHeight="false" outlineLevel="0" collapsed="false">
      <c r="A19" s="9" t="s">
        <v>127</v>
      </c>
      <c r="B19" s="10" t="str">
        <f aca="false">INDEX(Palancas!$C$5:$C$31,MATCH(A19,Palancas!$A$5:$A$31,0))</f>
        <v>Segmentación ABC/XYZ y política de stock por segmento, revisada cada trimestre</v>
      </c>
      <c r="C19" s="9" t="s">
        <v>129</v>
      </c>
      <c r="D19" s="10" t="str">
        <f aca="false">INDEX(Hallazgos!$E$5:$E$48,MATCH(C19,Hallazgos!$A$5:$A$48,0))</f>
        <v>Stock de producto terminado excesivo u obsoleto por fabricar contra una previsión inflada</v>
      </c>
      <c r="E19" s="10" t="str">
        <f aca="false">INDEX(Hallazgos!$D$5:$D$48,MATCH(C19,Hallazgos!$A$5:$A$48,0))</f>
        <v>S&amp;OP y Plan Maestro</v>
      </c>
    </row>
    <row r="20" customFormat="false" ht="23.85" hidden="false" customHeight="false" outlineLevel="0" collapsed="false">
      <c r="A20" s="9" t="s">
        <v>127</v>
      </c>
      <c r="B20" s="10" t="str">
        <f aca="false">INDEX(Palancas!$C$5:$C$31,MATCH(A20,Palancas!$A$5:$A$31,0))</f>
        <v>Segmentación ABC/XYZ y política de stock por segmento, revisada cada trimestre</v>
      </c>
      <c r="C20" s="9" t="s">
        <v>133</v>
      </c>
      <c r="D20" s="10" t="str">
        <f aca="false">INDEX(Hallazgos!$E$5:$E$48,MATCH(C20,Hallazgos!$A$5:$A$48,0))</f>
        <v>Roturas en materiales contra stock: hay pedidos que no se pueden servir</v>
      </c>
      <c r="E20" s="10" t="str">
        <f aca="false">INDEX(Hallazgos!$D$5:$D$48,MATCH(C20,Hallazgos!$A$5:$A$48,0))</f>
        <v>S&amp;OP y Plan Maestro</v>
      </c>
    </row>
    <row r="21" customFormat="false" ht="23.85" hidden="false" customHeight="false" outlineLevel="0" collapsed="false">
      <c r="A21" s="9" t="s">
        <v>127</v>
      </c>
      <c r="B21" s="10" t="str">
        <f aca="false">INDEX(Palancas!$C$5:$C$31,MATCH(A21,Palancas!$A$5:$A$31,0))</f>
        <v>Segmentación ABC/XYZ y política de stock por segmento, revisada cada trimestre</v>
      </c>
      <c r="C21" s="9" t="s">
        <v>187</v>
      </c>
      <c r="D21" s="10" t="str">
        <f aca="false">INDEX(Hallazgos!$E$5:$E$48,MATCH(C21,Hallazgos!$A$5:$A$48,0))</f>
        <v>Materias primas y auxiliares sin política de stock: se compra a ojo o por el mínimo del proveedor</v>
      </c>
      <c r="E21" s="10" t="str">
        <f aca="false">INDEX(Hallazgos!$D$5:$D$48,MATCH(C21,Hallazgos!$A$5:$A$48,0))</f>
        <v>Necesidades y Aprovisionamiento</v>
      </c>
    </row>
    <row r="22" customFormat="false" ht="15" hidden="false" customHeight="false" outlineLevel="0" collapsed="false">
      <c r="A22" s="9" t="s">
        <v>300</v>
      </c>
      <c r="B22" s="10" t="str">
        <f aca="false">INDEX(Palancas!$C$5:$C$31,MATCH(A22,Palancas!$A$5:$A$31,0))</f>
        <v>Promesa de fecha con disponibilidad real: stock y capacidad libre (ATP/CTP)</v>
      </c>
      <c r="C22" s="9" t="s">
        <v>137</v>
      </c>
      <c r="D22" s="10" t="str">
        <f aca="false">INDEX(Hallazgos!$E$5:$E$48,MATCH(C22,Hallazgos!$A$5:$A$48,0))</f>
        <v>La fecha al cliente se promete sin comprobar stock ni capacidad</v>
      </c>
      <c r="E22" s="10" t="str">
        <f aca="false">INDEX(Hallazgos!$D$5:$D$48,MATCH(C22,Hallazgos!$A$5:$A$48,0))</f>
        <v>S&amp;OP y Plan Maestro</v>
      </c>
    </row>
    <row r="23" customFormat="false" ht="23.85" hidden="false" customHeight="false" outlineLevel="0" collapsed="false">
      <c r="A23" s="9" t="s">
        <v>144</v>
      </c>
      <c r="B23" s="10" t="str">
        <f aca="false">INDEX(Palancas!$C$5:$C$31,MATCH(A23,Palancas!$A$5:$A$31,0))</f>
        <v>Política de cartera: una sola revisión conjunta, dos fechas en el pedido y aviso al cliente</v>
      </c>
      <c r="C23" s="9" t="s">
        <v>141</v>
      </c>
      <c r="D23" s="10" t="str">
        <f aca="false">INDEX(Hallazgos!$E$5:$E$48,MATCH(C23,Hallazgos!$A$5:$A$48,0))</f>
        <v>Cuando se sabe que no se llega, la fecha no se renegocia con el cliente</v>
      </c>
      <c r="E23" s="10" t="str">
        <f aca="false">INDEX(Hallazgos!$D$5:$D$48,MATCH(C23,Hallazgos!$A$5:$A$48,0))</f>
        <v>S&amp;OP y Plan Maestro</v>
      </c>
    </row>
    <row r="24" customFormat="false" ht="23.85" hidden="false" customHeight="false" outlineLevel="0" collapsed="false">
      <c r="A24" s="9" t="s">
        <v>144</v>
      </c>
      <c r="B24" s="10" t="str">
        <f aca="false">INDEX(Palancas!$C$5:$C$31,MATCH(A24,Palancas!$A$5:$A$31,0))</f>
        <v>Política de cartera: una sola revisión conjunta, dos fechas en el pedido y aviso al cliente</v>
      </c>
      <c r="C24" s="9" t="s">
        <v>145</v>
      </c>
      <c r="D24" s="10" t="str">
        <f aca="false">INDEX(Hallazgos!$E$5:$E$48,MATCH(C24,Hallazgos!$A$5:$A$48,0))</f>
        <v>La cartera se revisa dos veces: Comercial y Planificación, cada uno por su lado</v>
      </c>
      <c r="E24" s="10" t="str">
        <f aca="false">INDEX(Hallazgos!$D$5:$D$48,MATCH(C24,Hallazgos!$A$5:$A$48,0))</f>
        <v>S&amp;OP y Plan Maestro</v>
      </c>
    </row>
    <row r="25" customFormat="false" ht="15" hidden="false" customHeight="false" outlineLevel="0" collapsed="false">
      <c r="A25" s="9" t="s">
        <v>152</v>
      </c>
      <c r="B25" s="10" t="str">
        <f aca="false">INDEX(Palancas!$C$5:$C$31,MATCH(A25,Palancas!$A$5:$A$31,0))</f>
        <v>Automatizar cálculos e informes repetitivos</v>
      </c>
      <c r="C25" s="9" t="s">
        <v>149</v>
      </c>
      <c r="D25" s="10" t="str">
        <f aca="false">INDEX(Hallazgos!$E$5:$E$48,MATCH(C25,Hallazgos!$A$5:$A$48,0))</f>
        <v>Cálculos repetitivos a mano: reservas de capacidad (temporales), coberturas, cargas</v>
      </c>
      <c r="E25" s="10" t="str">
        <f aca="false">INDEX(Hallazgos!$D$5:$D$48,MATCH(C25,Hallazgos!$A$5:$A$48,0))</f>
        <v>S&amp;OP y Plan Maestro</v>
      </c>
    </row>
    <row r="26" customFormat="false" ht="15" hidden="false" customHeight="false" outlineLevel="0" collapsed="false">
      <c r="A26" s="9" t="s">
        <v>152</v>
      </c>
      <c r="B26" s="10" t="str">
        <f aca="false">INDEX(Palancas!$C$5:$C$31,MATCH(A26,Palancas!$A$5:$A$31,0))</f>
        <v>Automatizar cálculos e informes repetitivos</v>
      </c>
      <c r="C26" s="9" t="s">
        <v>240</v>
      </c>
      <c r="D26" s="10" t="str">
        <f aca="false">INDEX(Hallazgos!$E$5:$E$48,MATCH(C26,Hallazgos!$A$5:$A$48,0))</f>
        <v>Los informes de seguimiento se hacen a mano</v>
      </c>
      <c r="E26" s="10" t="str">
        <f aca="false">INDEX(Hallazgos!$D$5:$D$48,MATCH(C26,Hallazgos!$A$5:$A$48,0))</f>
        <v>Seguimiento y Control</v>
      </c>
    </row>
    <row r="27" customFormat="false" ht="23.85" hidden="false" customHeight="false" outlineLevel="0" collapsed="false">
      <c r="A27" s="9" t="s">
        <v>312</v>
      </c>
      <c r="B27" s="10" t="str">
        <f aca="false">INDEX(Palancas!$C$5:$C$31,MATCH(A27,Palancas!$A$5:$A$31,0))</f>
        <v>Plan intercompany con mín/máx y pedidos programados</v>
      </c>
      <c r="C27" s="9" t="s">
        <v>154</v>
      </c>
      <c r="D27" s="10" t="str">
        <f aca="false">INDEX(Hallazgos!$E$5:$E$48,MATCH(C27,Hallazgos!$A$5:$A$48,0))</f>
        <v>Intercompany (opcional): la planta que suministra se entera por un pedido urgente, sin plan conjunto ni mín/máx</v>
      </c>
      <c r="E27" s="10" t="str">
        <f aca="false">INDEX(Hallazgos!$D$5:$D$48,MATCH(C27,Hallazgos!$A$5:$A$48,0))</f>
        <v>S&amp;OP y Plan Maestro</v>
      </c>
    </row>
    <row r="28" customFormat="false" ht="23.85" hidden="false" customHeight="false" outlineLevel="0" collapsed="false">
      <c r="A28" s="9" t="s">
        <v>163</v>
      </c>
      <c r="B28" s="10" t="str">
        <f aca="false">INDEX(Palancas!$C$5:$C$31,MATCH(A28,Palancas!$A$5:$A$31,0))</f>
        <v>Necesidades por excepción: alertas por criticidad y motivo obligatorio en cada corrección</v>
      </c>
      <c r="C28" s="9" t="s">
        <v>159</v>
      </c>
      <c r="D28" s="10" t="str">
        <f aca="false">INDEX(Hallazgos!$E$5:$E$48,MATCH(C28,Hallazgos!$A$5:$A$48,0))</f>
        <v>La propuesta del sistema se corrige a mano de forma sistemática y sin registrar el motivo</v>
      </c>
      <c r="E28" s="10" t="str">
        <f aca="false">INDEX(Hallazgos!$D$5:$D$48,MATCH(C28,Hallazgos!$A$5:$A$48,0))</f>
        <v>Necesidades y Aprovisionamiento</v>
      </c>
    </row>
    <row r="29" customFormat="false" ht="23.85" hidden="false" customHeight="false" outlineLevel="0" collapsed="false">
      <c r="A29" s="9" t="s">
        <v>163</v>
      </c>
      <c r="B29" s="10" t="str">
        <f aca="false">INDEX(Palancas!$C$5:$C$31,MATCH(A29,Palancas!$A$5:$A$31,0))</f>
        <v>Necesidades por excepción: alertas por criticidad y motivo obligatorio en cada corrección</v>
      </c>
      <c r="C29" s="9" t="s">
        <v>173</v>
      </c>
      <c r="D29" s="10" t="str">
        <f aca="false">INDEX(Hallazgos!$E$5:$E$48,MATCH(C29,Hallazgos!$A$5:$A$48,0))</f>
        <v>Las faltas se revisan todas a mano, sin criticidad ni gestión por excepción</v>
      </c>
      <c r="E29" s="10" t="str">
        <f aca="false">INDEX(Hallazgos!$D$5:$D$48,MATCH(C29,Hallazgos!$A$5:$A$48,0))</f>
        <v>Necesidades y Aprovisionamiento</v>
      </c>
    </row>
    <row r="30" customFormat="false" ht="23.85" hidden="false" customHeight="false" outlineLevel="0" collapsed="false">
      <c r="A30" s="9" t="s">
        <v>168</v>
      </c>
      <c r="B30" s="10" t="str">
        <f aca="false">INDEX(Palancas!$C$5:$C$31,MATCH(A30,Palancas!$A$5:$A$31,0))</f>
        <v>Revisión periódica de los parámetros de planificación contra la realidad</v>
      </c>
      <c r="C30" s="9" t="s">
        <v>165</v>
      </c>
      <c r="D30" s="10" t="str">
        <f aca="false">INDEX(Hallazgos!$E$5:$E$48,MATCH(C30,Hallazgos!$A$5:$A$48,0))</f>
        <v>Parámetros de planificación desactualizados: lote mínimo y múltiplo, plazos, stock de seguridad</v>
      </c>
      <c r="E30" s="10" t="str">
        <f aca="false">INDEX(Hallazgos!$D$5:$D$48,MATCH(C30,Hallazgos!$A$5:$A$48,0))</f>
        <v>Necesidades y Aprovisionamiento</v>
      </c>
    </row>
    <row r="31" customFormat="false" ht="15" hidden="false" customHeight="false" outlineLevel="0" collapsed="false">
      <c r="A31" s="9" t="s">
        <v>172</v>
      </c>
      <c r="B31" s="10" t="str">
        <f aca="false">INDEX(Palancas!$C$5:$C$31,MATCH(A31,Palancas!$A$5:$A$31,0))</f>
        <v>MRP diario con alertas tempranas de faltas</v>
      </c>
      <c r="C31" s="9" t="s">
        <v>169</v>
      </c>
      <c r="D31" s="10" t="str">
        <f aca="false">INDEX(Hallazgos!$E$5:$E$48,MATCH(C31,Hallazgos!$A$5:$A$48,0))</f>
        <v>El MRP corre con poca frecuencia y las faltas se detectan tarde</v>
      </c>
      <c r="E31" s="10" t="str">
        <f aca="false">INDEX(Hallazgos!$D$5:$D$48,MATCH(C31,Hallazgos!$A$5:$A$48,0))</f>
        <v>Necesidades y Aprovisionamiento</v>
      </c>
    </row>
    <row r="32" customFormat="false" ht="15" hidden="false" customHeight="false" outlineLevel="0" collapsed="false">
      <c r="A32" s="9" t="s">
        <v>172</v>
      </c>
      <c r="B32" s="10" t="str">
        <f aca="false">INDEX(Palancas!$C$5:$C$31,MATCH(A32,Palancas!$A$5:$A$31,0))</f>
        <v>MRP diario con alertas tempranas de faltas</v>
      </c>
      <c r="C32" s="9" t="s">
        <v>176</v>
      </c>
      <c r="D32" s="10" t="str">
        <f aca="false">INDEX(Hallazgos!$E$5:$E$48,MATCH(C32,Hallazgos!$A$5:$A$48,0))</f>
        <v>Compras y transportes urgentes por faltas no anticipadas</v>
      </c>
      <c r="E32" s="10" t="str">
        <f aca="false">INDEX(Hallazgos!$D$5:$D$48,MATCH(C32,Hallazgos!$A$5:$A$48,0))</f>
        <v>Necesidades y Aprovisionamiento</v>
      </c>
    </row>
    <row r="33" customFormat="false" ht="23.85" hidden="false" customHeight="false" outlineLevel="0" collapsed="false">
      <c r="A33" s="9" t="s">
        <v>182</v>
      </c>
      <c r="B33" s="10" t="str">
        <f aca="false">INDEX(Palancas!$C$5:$C$31,MATCH(A33,Palancas!$A$5:$A$31,0))</f>
        <v>Planificación multinivel sincronizada: producto terminado, semielaborado y materias primas</v>
      </c>
      <c r="C33" s="9" t="s">
        <v>179</v>
      </c>
      <c r="D33" s="10" t="str">
        <f aca="false">INDEX(Hallazgos!$E$5:$E$48,MATCH(C33,Hallazgos!$A$5:$A$48,0))</f>
        <v>Producto terminado y semielaborado se planifican por separado, sin sincronizar</v>
      </c>
      <c r="E33" s="10" t="str">
        <f aca="false">INDEX(Hallazgos!$D$5:$D$48,MATCH(C33,Hallazgos!$A$5:$A$48,0))</f>
        <v>Necesidades y Aprovisionamiento</v>
      </c>
    </row>
    <row r="34" customFormat="false" ht="15" hidden="false" customHeight="false" outlineLevel="0" collapsed="false">
      <c r="A34" s="9" t="s">
        <v>186</v>
      </c>
      <c r="B34" s="10" t="str">
        <f aca="false">INDEX(Palancas!$C$5:$C$31,MATCH(A34,Palancas!$A$5:$A$31,0))</f>
        <v>Optimizador de agrupación y combinación</v>
      </c>
      <c r="C34" s="9" t="s">
        <v>183</v>
      </c>
      <c r="D34" s="10" t="str">
        <f aca="false">INDEX(Hallazgos!$E$5:$E$48,MATCH(C34,Hallazgos!$A$5:$A$48,0))</f>
        <v>La agrupación de necesidades en lotes o combinaciones se hace a mano</v>
      </c>
      <c r="E34" s="10" t="str">
        <f aca="false">INDEX(Hallazgos!$D$5:$D$48,MATCH(C34,Hallazgos!$A$5:$A$48,0))</f>
        <v>Necesidades y Aprovisionamiento</v>
      </c>
    </row>
    <row r="35" customFormat="false" ht="15" hidden="false" customHeight="false" outlineLevel="0" collapsed="false">
      <c r="A35" s="9" t="s">
        <v>194</v>
      </c>
      <c r="B35" s="10" t="str">
        <f aca="false">INDEX(Palancas!$C$5:$C$31,MATCH(A35,Palancas!$A$5:$A$31,0))</f>
        <v>Secuenciador con capacidad finita, matriz de cambios y rutas alternativas</v>
      </c>
      <c r="C35" s="9" t="s">
        <v>190</v>
      </c>
      <c r="D35" s="10" t="str">
        <f aca="false">INDEX(Hallazgos!$E$5:$E$48,MATCH(C35,Hallazgos!$A$5:$A$48,0))</f>
        <v>La secuencia se hace a mano, sin optimizar los cambios (molde, formato, altura, color)</v>
      </c>
      <c r="E35" s="10" t="str">
        <f aca="false">INDEX(Hallazgos!$D$5:$D$48,MATCH(C35,Hallazgos!$A$5:$A$48,0))</f>
        <v>Programación</v>
      </c>
    </row>
    <row r="36" customFormat="false" ht="15" hidden="false" customHeight="false" outlineLevel="0" collapsed="false">
      <c r="A36" s="9" t="s">
        <v>194</v>
      </c>
      <c r="B36" s="10" t="str">
        <f aca="false">INDEX(Palancas!$C$5:$C$31,MATCH(A36,Palancas!$A$5:$A$31,0))</f>
        <v>Secuenciador con capacidad finita, matriz de cambios y rutas alternativas</v>
      </c>
      <c r="C36" s="9" t="s">
        <v>195</v>
      </c>
      <c r="D36" s="10" t="str">
        <f aca="false">INDEX(Hallazgos!$E$5:$E$48,MATCH(C36,Hallazgos!$A$5:$A$48,0))</f>
        <v>Se programa sin capacidad finita: se carga más de lo que cabe</v>
      </c>
      <c r="E36" s="10" t="str">
        <f aca="false">INDEX(Hallazgos!$D$5:$D$48,MATCH(C36,Hallazgos!$A$5:$A$48,0))</f>
        <v>Programación</v>
      </c>
    </row>
    <row r="37" customFormat="false" ht="15" hidden="false" customHeight="false" outlineLevel="0" collapsed="false">
      <c r="A37" s="9" t="s">
        <v>194</v>
      </c>
      <c r="B37" s="10" t="str">
        <f aca="false">INDEX(Palancas!$C$5:$C$31,MATCH(A37,Palancas!$A$5:$A$31,0))</f>
        <v>Secuenciador con capacidad finita, matriz de cambios y rutas alternativas</v>
      </c>
      <c r="C37" s="9" t="s">
        <v>205</v>
      </c>
      <c r="D37" s="10" t="str">
        <f aca="false">INDEX(Hallazgos!$E$5:$E$48,MATCH(C37,Hallazgos!$A$5:$A$48,0))</f>
        <v>Se usa siempre la ruta por defecto, sin reequilibrar con la carga</v>
      </c>
      <c r="E37" s="10" t="str">
        <f aca="false">INDEX(Hallazgos!$D$5:$D$48,MATCH(C37,Hallazgos!$A$5:$A$48,0))</f>
        <v>Programación</v>
      </c>
    </row>
    <row r="38" customFormat="false" ht="15" hidden="false" customHeight="false" outlineLevel="0" collapsed="false">
      <c r="A38" s="9" t="s">
        <v>204</v>
      </c>
      <c r="B38" s="10" t="str">
        <f aca="false">INDEX(Palancas!$C$5:$C$31,MATCH(A38,Palancas!$A$5:$A$31,0))</f>
        <v>Reglas de prioridad y de escalado</v>
      </c>
      <c r="C38" s="9" t="s">
        <v>201</v>
      </c>
      <c r="D38" s="10" t="str">
        <f aca="false">INDEX(Hallazgos!$E$5:$E$48,MATCH(C38,Hallazgos!$A$5:$A$48,0))</f>
        <v>Urgencias y prioridades sin reglas: se decide por llamada o se escala a dirección</v>
      </c>
      <c r="E38" s="10" t="str">
        <f aca="false">INDEX(Hallazgos!$D$5:$D$48,MATCH(C38,Hallazgos!$A$5:$A$48,0))</f>
        <v>Programación</v>
      </c>
    </row>
    <row r="39" customFormat="false" ht="23.85" hidden="false" customHeight="false" outlineLevel="0" collapsed="false">
      <c r="A39" s="9" t="s">
        <v>211</v>
      </c>
      <c r="B39" s="10" t="str">
        <f aca="false">INDEX(Palancas!$C$5:$C$31,MATCH(A39,Palancas!$A$5:$A$31,0))</f>
        <v>Programar teniendo en cuenta personas y mantenimiento</v>
      </c>
      <c r="C39" s="9" t="s">
        <v>208</v>
      </c>
      <c r="D39" s="10" t="str">
        <f aca="false">INDEX(Hallazgos!$E$5:$E$48,MATCH(C39,Hallazgos!$A$5:$A$48,0))</f>
        <v>El programa no tiene en cuenta a las personas (polivalencias, turnos) ni las paradas planificadas</v>
      </c>
      <c r="E39" s="10" t="str">
        <f aca="false">INDEX(Hallazgos!$D$5:$D$48,MATCH(C39,Hallazgos!$A$5:$A$48,0))</f>
        <v>Programación</v>
      </c>
    </row>
    <row r="40" customFormat="false" ht="15" hidden="false" customHeight="false" outlineLevel="0" collapsed="false">
      <c r="A40" s="9" t="s">
        <v>216</v>
      </c>
      <c r="B40" s="10" t="str">
        <f aca="false">INDEX(Palancas!$C$5:$C$31,MATCH(A40,Palancas!$A$5:$A$31,0))</f>
        <v>Semáforo de liberación 24–72 h antes, con ventana de liberación</v>
      </c>
      <c r="C40" s="9" t="s">
        <v>212</v>
      </c>
      <c r="D40" s="10" t="str">
        <f aca="false">INDEX(Hallazgos!$E$5:$E$48,MATCH(C40,Hallazgos!$A$5:$A$48,0))</f>
        <v>Se libera sin comprobar material en línea, utillaje, ficha y personal</v>
      </c>
      <c r="E40" s="10" t="str">
        <f aca="false">INDEX(Hallazgos!$D$5:$D$48,MATCH(C40,Hallazgos!$A$5:$A$48,0))</f>
        <v>Liberación</v>
      </c>
    </row>
    <row r="41" customFormat="false" ht="15" hidden="false" customHeight="false" outlineLevel="0" collapsed="false">
      <c r="A41" s="9" t="s">
        <v>216</v>
      </c>
      <c r="B41" s="10" t="str">
        <f aca="false">INDEX(Palancas!$C$5:$C$31,MATCH(A41,Palancas!$A$5:$A$31,0))</f>
        <v>Semáforo de liberación 24–72 h antes, con ventana de liberación</v>
      </c>
      <c r="C41" s="9" t="s">
        <v>217</v>
      </c>
      <c r="D41" s="10" t="str">
        <f aca="false">INDEX(Hallazgos!$E$5:$E$48,MATCH(C41,Hallazgos!$A$5:$A$48,0))</f>
        <v>No hay ventana de liberación: se libera todo de golpe o en el último momento</v>
      </c>
      <c r="E41" s="10" t="str">
        <f aca="false">INDEX(Hallazgos!$D$5:$D$48,MATCH(C41,Hallazgos!$A$5:$A$48,0))</f>
        <v>Liberación</v>
      </c>
    </row>
    <row r="42" customFormat="false" ht="15" hidden="false" customHeight="false" outlineLevel="0" collapsed="false">
      <c r="A42" s="9" t="s">
        <v>216</v>
      </c>
      <c r="B42" s="10" t="str">
        <f aca="false">INDEX(Palancas!$C$5:$C$31,MATCH(A42,Palancas!$A$5:$A$31,0))</f>
        <v>Semáforo de liberación 24–72 h antes, con ventana de liberación</v>
      </c>
      <c r="C42" s="9" t="s">
        <v>220</v>
      </c>
      <c r="D42" s="10" t="str">
        <f aca="false">INDEX(Hallazgos!$E$5:$E$48,MATCH(C42,Hallazgos!$A$5:$A$48,0))</f>
        <v>El aprovisionamiento a línea no va sincronizado con la secuencia</v>
      </c>
      <c r="E42" s="10" t="str">
        <f aca="false">INDEX(Hallazgos!$D$5:$D$48,MATCH(C42,Hallazgos!$A$5:$A$48,0))</f>
        <v>Liberación</v>
      </c>
    </row>
    <row r="43" customFormat="false" ht="15" hidden="false" customHeight="false" outlineLevel="0" collapsed="false">
      <c r="A43" s="9" t="s">
        <v>216</v>
      </c>
      <c r="B43" s="10" t="str">
        <f aca="false">INDEX(Palancas!$C$5:$C$31,MATCH(A43,Palancas!$A$5:$A$31,0))</f>
        <v>Semáforo de liberación 24–72 h antes, con ventana de liberación</v>
      </c>
      <c r="C43" s="9" t="s">
        <v>223</v>
      </c>
      <c r="D43" s="10" t="str">
        <f aca="false">INDEX(Hallazgos!$E$5:$E$48,MATCH(C43,Hallazgos!$A$5:$A$48,0))</f>
        <v>La orden sale con una ficha técnica o una versión de producto no vigente</v>
      </c>
      <c r="E43" s="10" t="str">
        <f aca="false">INDEX(Hallazgos!$D$5:$D$48,MATCH(C43,Hallazgos!$A$5:$A$48,0))</f>
        <v>Liberación</v>
      </c>
    </row>
    <row r="44" customFormat="false" ht="15" hidden="false" customHeight="false" outlineLevel="0" collapsed="false">
      <c r="A44" s="9" t="s">
        <v>230</v>
      </c>
      <c r="B44" s="10" t="str">
        <f aca="false">INDEX(Palancas!$C$5:$C$31,MATCH(A44,Palancas!$A$5:$A$31,0))</f>
        <v>Cuadro de mando de servicio y adherencia, con alertas de pedidos en riesgo</v>
      </c>
      <c r="C44" s="9" t="s">
        <v>226</v>
      </c>
      <c r="D44" s="10" t="str">
        <f aca="false">INDEX(Hallazgos!$E$5:$E$48,MATCH(C44,Hallazgos!$A$5:$A$48,0))</f>
        <v>No hay KPIs formales de servicio (OTIF a fecha confirmada) ni de adherencia al programa</v>
      </c>
      <c r="E44" s="10" t="str">
        <f aca="false">INDEX(Hallazgos!$D$5:$D$48,MATCH(C44,Hallazgos!$A$5:$A$48,0))</f>
        <v>Seguimiento y Control</v>
      </c>
    </row>
    <row r="45" customFormat="false" ht="15" hidden="false" customHeight="false" outlineLevel="0" collapsed="false">
      <c r="A45" s="9" t="s">
        <v>230</v>
      </c>
      <c r="B45" s="10" t="str">
        <f aca="false">INDEX(Palancas!$C$5:$C$31,MATCH(A45,Palancas!$A$5:$A$31,0))</f>
        <v>Cuadro de mando de servicio y adherencia, con alertas de pedidos en riesgo</v>
      </c>
      <c r="C45" s="9" t="s">
        <v>232</v>
      </c>
      <c r="D45" s="10" t="str">
        <f aca="false">INDEX(Hallazgos!$E$5:$E$48,MATCH(C45,Hallazgos!$A$5:$A$48,0))</f>
        <v>Los atrasos se detectan cuando ya han ocurrido, sin aviso de pedidos en riesgo</v>
      </c>
      <c r="E45" s="10" t="str">
        <f aca="false">INDEX(Hallazgos!$D$5:$D$48,MATCH(C45,Hallazgos!$A$5:$A$48,0))</f>
        <v>Seguimiento y Control</v>
      </c>
    </row>
    <row r="46" customFormat="false" ht="23.85" hidden="false" customHeight="false" outlineLevel="0" collapsed="false">
      <c r="A46" s="9" t="s">
        <v>239</v>
      </c>
      <c r="B46" s="10" t="str">
        <f aca="false">INDEX(Palancas!$C$5:$C$31,MATCH(A46,Palancas!$A$5:$A$31,0))</f>
        <v>Análisis de causa raíz de las desviaciones, que vuelve a la previsión y a los parámetros</v>
      </c>
      <c r="C46" s="9" t="s">
        <v>103</v>
      </c>
      <c r="D46" s="10" t="str">
        <f aca="false">INDEX(Hallazgos!$E$5:$E$48,MATCH(C46,Hallazgos!$A$5:$A$48,0))</f>
        <v>Las desviaciones de previsión no llevan análisis de causa ni acción</v>
      </c>
      <c r="E46" s="10" t="str">
        <f aca="false">INDEX(Hallazgos!$D$5:$D$48,MATCH(C46,Hallazgos!$A$5:$A$48,0))</f>
        <v>Demanda y previsión</v>
      </c>
    </row>
    <row r="47" customFormat="false" ht="23.85" hidden="false" customHeight="false" outlineLevel="0" collapsed="false">
      <c r="A47" s="9" t="s">
        <v>239</v>
      </c>
      <c r="B47" s="10" t="str">
        <f aca="false">INDEX(Palancas!$C$5:$C$31,MATCH(A47,Palancas!$A$5:$A$31,0))</f>
        <v>Análisis de causa raíz de las desviaciones, que vuelve a la previsión y a los parámetros</v>
      </c>
      <c r="C47" s="9" t="s">
        <v>236</v>
      </c>
      <c r="D47" s="10" t="str">
        <f aca="false">INDEX(Hallazgos!$E$5:$E$48,MATCH(C47,Hallazgos!$A$5:$A$48,0))</f>
        <v>Las desviaciones del plan no tienen análisis de causa y lo aprendido no vuelve a la previsión ni a los parámetros</v>
      </c>
      <c r="E47" s="10" t="str">
        <f aca="false">INDEX(Hallazgos!$D$5:$D$48,MATCH(C47,Hallazgos!$A$5:$A$48,0))</f>
        <v>Seguimiento y Control</v>
      </c>
    </row>
    <row r="48" customFormat="false" ht="15" hidden="false" customHeight="false" outlineLevel="0" collapsed="false">
      <c r="A48" s="9" t="s">
        <v>353</v>
      </c>
      <c r="B48" s="10" t="str">
        <f aca="false">INDEX(Palancas!$C$5:$C$31,MATCH(A48,Palancas!$A$5:$A$31,0))</f>
        <v>Copiloto de consulta: «¿cuándo sirvo X?», «¿por qué va tarde X?»</v>
      </c>
      <c r="C48" s="9" t="s">
        <v>137</v>
      </c>
      <c r="D48" s="10" t="str">
        <f aca="false">INDEX(Hallazgos!$E$5:$E$48,MATCH(C48,Hallazgos!$A$5:$A$48,0))</f>
        <v>La fecha al cliente se promete sin comprobar stock ni capacidad</v>
      </c>
      <c r="E48" s="10" t="str">
        <f aca="false">INDEX(Hallazgos!$D$5:$D$48,MATCH(C48,Hallazgos!$A$5:$A$48,0))</f>
        <v>S&amp;OP y Plan Maestro</v>
      </c>
    </row>
    <row r="49" customFormat="false" ht="15" hidden="false" customHeight="false" outlineLevel="0" collapsed="false">
      <c r="A49" s="9" t="s">
        <v>353</v>
      </c>
      <c r="B49" s="10" t="str">
        <f aca="false">INDEX(Palancas!$C$5:$C$31,MATCH(A49,Palancas!$A$5:$A$31,0))</f>
        <v>Copiloto de consulta: «¿cuándo sirvo X?», «¿por qué va tarde X?»</v>
      </c>
      <c r="C49" s="9" t="s">
        <v>145</v>
      </c>
      <c r="D49" s="10" t="str">
        <f aca="false">INDEX(Hallazgos!$E$5:$E$48,MATCH(C49,Hallazgos!$A$5:$A$48,0))</f>
        <v>La cartera se revisa dos veces: Comercial y Planificación, cada uno por su lado</v>
      </c>
      <c r="E49" s="10" t="str">
        <f aca="false">INDEX(Hallazgos!$D$5:$D$48,MATCH(C49,Hallazgos!$A$5:$A$48,0))</f>
        <v>S&amp;OP y Plan Maestro</v>
      </c>
    </row>
    <row r="50" customFormat="false" ht="15" hidden="false" customHeight="false" outlineLevel="0" collapsed="false">
      <c r="A50" s="9" t="s">
        <v>353</v>
      </c>
      <c r="B50" s="10" t="str">
        <f aca="false">INDEX(Palancas!$C$5:$C$31,MATCH(A50,Palancas!$A$5:$A$31,0))</f>
        <v>Copiloto de consulta: «¿cuándo sirvo X?», «¿por qué va tarde X?»</v>
      </c>
      <c r="C50" s="9" t="s">
        <v>232</v>
      </c>
      <c r="D50" s="10" t="str">
        <f aca="false">INDEX(Hallazgos!$E$5:$E$48,MATCH(C50,Hallazgos!$A$5:$A$48,0))</f>
        <v>Los atrasos se detectan cuando ya han ocurrido, sin aviso de pedidos en riesgo</v>
      </c>
      <c r="E50" s="10" t="str">
        <f aca="false">INDEX(Hallazgos!$D$5:$D$48,MATCH(C50,Hallazgos!$A$5:$A$48,0))</f>
        <v>Seguimiento y Control</v>
      </c>
    </row>
    <row r="51" customFormat="false" ht="15" hidden="false" customHeight="false" outlineLevel="0" collapsed="false">
      <c r="A51" s="9" t="s">
        <v>247</v>
      </c>
      <c r="B51" s="10" t="str">
        <f aca="false">INDEX(Palancas!$C$5:$C$31,MATCH(A51,Palancas!$A$5:$A$31,0))</f>
        <v>Gobierno: RACI, titular y suplente por rol, procedimiento escrito</v>
      </c>
      <c r="C51" s="9" t="s">
        <v>243</v>
      </c>
      <c r="D51" s="10" t="str">
        <f aca="false">INDEX(Hallazgos!$E$5:$E$48,MATCH(C51,Hallazgos!$A$5:$A$48,0))</f>
        <v>La planificación se concentra en una persona, sin suplente ni procedimiento escrito</v>
      </c>
      <c r="E51" s="10" t="str">
        <f aca="false">INDEX(Hallazgos!$D$5:$D$48,MATCH(C51,Hallazgos!$A$5:$A$48,0))</f>
        <v>Transversal del proceso</v>
      </c>
    </row>
    <row r="52" customFormat="false" ht="15" hidden="false" customHeight="false" outlineLevel="0" collapsed="false">
      <c r="A52" s="9" t="s">
        <v>247</v>
      </c>
      <c r="B52" s="10" t="str">
        <f aca="false">INDEX(Palancas!$C$5:$C$31,MATCH(A52,Palancas!$A$5:$A$31,0))</f>
        <v>Gobierno: RACI, titular y suplente por rol, procedimiento escrito</v>
      </c>
      <c r="C52" s="9" t="s">
        <v>248</v>
      </c>
      <c r="D52" s="10" t="str">
        <f aca="false">INDEX(Hallazgos!$E$5:$E$48,MATCH(C52,Hallazgos!$A$5:$A$48,0))</f>
        <v>No hay RACI: no está claro quién decide la previsión, la fecha y la prioridad</v>
      </c>
      <c r="E52" s="10" t="str">
        <f aca="false">INDEX(Hallazgos!$D$5:$D$48,MATCH(C52,Hallazgos!$A$5:$A$48,0))</f>
        <v>Transversal del proceso</v>
      </c>
    </row>
    <row r="53" customFormat="false" ht="23.85" hidden="false" customHeight="false" outlineLevel="0" collapsed="false">
      <c r="A53" s="9" t="s">
        <v>254</v>
      </c>
      <c r="B53" s="10" t="str">
        <f aca="false">INDEX(Palancas!$C$5:$C$31,MATCH(A53,Palancas!$A$5:$A$31,0))</f>
        <v>Planificar dentro del sistema: sin Excel paralelos y con los sistemas integrados</v>
      </c>
      <c r="C53" s="9" t="s">
        <v>251</v>
      </c>
      <c r="D53" s="10" t="str">
        <f aca="false">INDEX(Hallazgos!$E$5:$E$48,MATCH(C53,Hallazgos!$A$5:$A$48,0))</f>
        <v>Se planifica en Excel paralelos o con sistemas sin integrar, con doble carga</v>
      </c>
      <c r="E53" s="10" t="str">
        <f aca="false">INDEX(Hallazgos!$D$5:$D$48,MATCH(C53,Hallazgos!$A$5:$A$48,0))</f>
        <v>Transversal del proceso</v>
      </c>
    </row>
  </sheetData>
  <autoFilter ref="A4:E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58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32"/>
    <col collapsed="false" customWidth="true" hidden="false" outlineLevel="0" max="8" min="8" style="0" width="40"/>
    <col collapsed="false" customWidth="true" hidden="false" outlineLevel="0" max="9" min="9" style="0" width="12"/>
  </cols>
  <sheetData>
    <row r="1" customFormat="false" ht="17.35" hidden="false" customHeight="false" outlineLevel="0" collapsed="false">
      <c r="A1" s="6" t="s">
        <v>370</v>
      </c>
    </row>
    <row r="2" customFormat="false" ht="15" hidden="false" customHeight="false" outlineLevel="0" collapsed="false">
      <c r="A2" s="7" t="s">
        <v>371</v>
      </c>
    </row>
    <row r="4" customFormat="false" ht="23.85" hidden="false" customHeight="false" outlineLevel="0" collapsed="false">
      <c r="A4" s="8" t="s">
        <v>69</v>
      </c>
      <c r="B4" s="8" t="s">
        <v>372</v>
      </c>
      <c r="C4" s="8" t="s">
        <v>373</v>
      </c>
      <c r="D4" s="8" t="s">
        <v>73</v>
      </c>
      <c r="E4" s="8" t="s">
        <v>17</v>
      </c>
      <c r="F4" s="8" t="s">
        <v>22</v>
      </c>
      <c r="G4" s="8" t="s">
        <v>74</v>
      </c>
      <c r="H4" s="8" t="s">
        <v>374</v>
      </c>
      <c r="I4" s="8" t="s">
        <v>375</v>
      </c>
    </row>
    <row r="5" customFormat="false" ht="15" hidden="false" customHeight="false" outlineLevel="0" collapsed="false">
      <c r="A5" s="9" t="s">
        <v>376</v>
      </c>
      <c r="B5" s="9" t="s">
        <v>377</v>
      </c>
      <c r="C5" s="9" t="s">
        <v>78</v>
      </c>
      <c r="D5" s="10" t="s">
        <v>378</v>
      </c>
      <c r="E5" s="10" t="s">
        <v>18</v>
      </c>
      <c r="F5" s="10" t="s">
        <v>27</v>
      </c>
      <c r="G5" s="10" t="s">
        <v>379</v>
      </c>
      <c r="H5" s="10" t="s">
        <v>380</v>
      </c>
      <c r="I5" s="9" t="s">
        <v>34</v>
      </c>
    </row>
    <row r="6" customFormat="false" ht="23.85" hidden="false" customHeight="false" outlineLevel="0" collapsed="false">
      <c r="A6" s="9" t="s">
        <v>381</v>
      </c>
      <c r="B6" s="9" t="s">
        <v>377</v>
      </c>
      <c r="C6" s="9" t="s">
        <v>78</v>
      </c>
      <c r="D6" s="10" t="s">
        <v>382</v>
      </c>
      <c r="E6" s="10" t="s">
        <v>18</v>
      </c>
      <c r="F6" s="10" t="s">
        <v>23</v>
      </c>
      <c r="G6" s="10" t="s">
        <v>383</v>
      </c>
      <c r="H6" s="10" t="s">
        <v>384</v>
      </c>
      <c r="I6" s="9" t="s">
        <v>36</v>
      </c>
    </row>
    <row r="7" customFormat="false" ht="23.85" hidden="false" customHeight="false" outlineLevel="0" collapsed="false">
      <c r="A7" s="9" t="s">
        <v>385</v>
      </c>
      <c r="B7" s="9" t="s">
        <v>377</v>
      </c>
      <c r="C7" s="9" t="s">
        <v>78</v>
      </c>
      <c r="D7" s="10" t="s">
        <v>386</v>
      </c>
      <c r="E7" s="10" t="s">
        <v>18</v>
      </c>
      <c r="F7" s="10" t="s">
        <v>29</v>
      </c>
      <c r="G7" s="10" t="s">
        <v>387</v>
      </c>
      <c r="H7" s="10" t="s">
        <v>388</v>
      </c>
      <c r="I7" s="9" t="s">
        <v>36</v>
      </c>
    </row>
    <row r="8" customFormat="false" ht="23.85" hidden="false" customHeight="false" outlineLevel="0" collapsed="false">
      <c r="A8" s="9" t="s">
        <v>389</v>
      </c>
      <c r="B8" s="9" t="s">
        <v>390</v>
      </c>
      <c r="C8" s="9" t="s">
        <v>78</v>
      </c>
      <c r="D8" s="10" t="s">
        <v>391</v>
      </c>
      <c r="E8" s="10" t="s">
        <v>18</v>
      </c>
      <c r="F8" s="10" t="s">
        <v>27</v>
      </c>
      <c r="G8" s="10" t="s">
        <v>392</v>
      </c>
      <c r="H8" s="10" t="s">
        <v>393</v>
      </c>
      <c r="I8" s="9" t="s">
        <v>38</v>
      </c>
    </row>
    <row r="9" customFormat="false" ht="23.85" hidden="false" customHeight="false" outlineLevel="0" collapsed="false">
      <c r="A9" s="9" t="s">
        <v>394</v>
      </c>
      <c r="B9" s="9" t="s">
        <v>395</v>
      </c>
      <c r="C9" s="9" t="s">
        <v>78</v>
      </c>
      <c r="D9" s="10" t="s">
        <v>396</v>
      </c>
      <c r="E9" s="10" t="s">
        <v>18</v>
      </c>
      <c r="F9" s="10" t="s">
        <v>27</v>
      </c>
      <c r="G9" s="10" t="s">
        <v>397</v>
      </c>
      <c r="H9" s="10" t="s">
        <v>398</v>
      </c>
      <c r="I9" s="9" t="s">
        <v>38</v>
      </c>
    </row>
  </sheetData>
  <autoFilter ref="A4:I9"/>
  <dataValidations count="3">
    <dataValidation allowBlank="true" error="Elige un valor de la lista (hoja Listas)." errorStyle="stop" errorTitle="Valor no válido" operator="between" showDropDown="false" showErrorMessage="false" showInputMessage="false" sqref="E5:E9" type="list">
      <formula1>Listas!$B$2:$B$3</formula1>
      <formula2>0</formula2>
    </dataValidation>
    <dataValidation allowBlank="true" error="Elige un valor de la lista (hoja Listas)." errorStyle="stop" errorTitle="Valor no válido" operator="between" showDropDown="false" showErrorMessage="false" showInputMessage="false" sqref="F5:F9" type="list">
      <formula1>Listas!$C$2:$C$6</formula1>
      <formula2>0</formula2>
    </dataValidation>
    <dataValidation allowBlank="true" error="Elige un valor de la lista (hoja Listas)." errorStyle="stop" errorTitle="Valor no válido" operator="between" showDropDown="false" showErrorMessage="false" showInputMessage="false" sqref="I5:I9" type="list">
      <formula1>Listas!$D$2:$D$9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6" t="s">
        <v>399</v>
      </c>
    </row>
    <row r="2" customFormat="false" ht="15" hidden="false" customHeight="false" outlineLevel="0" collapsed="false">
      <c r="A2" s="7" t="s">
        <v>400</v>
      </c>
    </row>
    <row r="4" customFormat="false" ht="15" hidden="false" customHeight="false" outlineLevel="0" collapsed="false">
      <c r="A4" s="8" t="s">
        <v>401</v>
      </c>
      <c r="B4" s="8" t="s">
        <v>402</v>
      </c>
      <c r="C4" s="8" t="s">
        <v>403</v>
      </c>
      <c r="D4" s="8" t="s">
        <v>404</v>
      </c>
      <c r="E4" s="8" t="s">
        <v>405</v>
      </c>
    </row>
    <row r="5" customFormat="false" ht="15" hidden="false" customHeight="false" outlineLevel="0" collapsed="false">
      <c r="A5" s="9" t="n">
        <v>1</v>
      </c>
      <c r="B5" s="10" t="s">
        <v>406</v>
      </c>
      <c r="C5" s="9" t="s">
        <v>83</v>
      </c>
      <c r="D5" s="10" t="str">
        <f aca="false">IFERROR(INDEX(Hallazgos!$E$5:$E$48,MATCH(C5,Hallazgos!$A$5:$A$48,0)),INDEX('Otros procesos'!$D$5:$D$9,MATCH(C5,'Otros procesos'!$A$5:$A$9,0)))</f>
        <v>La previsión no tiene día de cierre y se cambia dentro del mes en curso</v>
      </c>
      <c r="E5" s="10"/>
    </row>
    <row r="6" customFormat="false" ht="23.85" hidden="false" customHeight="false" outlineLevel="0" collapsed="false">
      <c r="A6" s="9" t="n">
        <v>2</v>
      </c>
      <c r="B6" s="10" t="s">
        <v>407</v>
      </c>
      <c r="C6" s="9" t="s">
        <v>116</v>
      </c>
      <c r="D6" s="10" t="str">
        <f aca="false">IFERROR(INDEX(Hallazgos!$E$5:$E$48,MATCH(C6,Hallazgos!$A$5:$A$48,0)),INDEX('Otros procesos'!$D$5:$D$9,MATCH(C6,'Otros procesos'!$A$5:$A$9,0)))</f>
        <v>La capacidad no se planifica con datos: turnos y balanceo se deciden por intuición, sin cruzar carga con capacidad</v>
      </c>
      <c r="E6" s="10"/>
    </row>
    <row r="7" customFormat="false" ht="23.85" hidden="false" customHeight="false" outlineLevel="0" collapsed="false">
      <c r="A7" s="9" t="n">
        <v>3</v>
      </c>
      <c r="B7" s="10" t="s">
        <v>408</v>
      </c>
      <c r="C7" s="9" t="s">
        <v>124</v>
      </c>
      <c r="D7" s="10" t="str">
        <f aca="false">IFERROR(INDEX(Hallazgos!$E$5:$E$48,MATCH(C7,Hallazgos!$A$5:$A$48,0)),INDEX('Otros procesos'!$D$5:$D$9,MATCH(C7,'Otros procesos'!$A$5:$A$9,0)))</f>
        <v>No hay política de stock por segmento: ABC/XYZ, MTS/MTO y stock de seguridad sin definir o sin revisar</v>
      </c>
      <c r="E7" s="10" t="s">
        <v>409</v>
      </c>
    </row>
    <row r="8" customFormat="false" ht="15" hidden="false" customHeight="false" outlineLevel="0" collapsed="false">
      <c r="A8" s="9" t="n">
        <v>4</v>
      </c>
      <c r="B8" s="10" t="s">
        <v>410</v>
      </c>
      <c r="C8" s="9" t="s">
        <v>149</v>
      </c>
      <c r="D8" s="10" t="str">
        <f aca="false">IFERROR(INDEX(Hallazgos!$E$5:$E$48,MATCH(C8,Hallazgos!$A$5:$A$48,0)),INDEX('Otros procesos'!$D$5:$D$9,MATCH(C8,'Otros procesos'!$A$5:$A$9,0)))</f>
        <v>Cálculos repetitivos a mano: reservas de capacidad (temporales), coberturas, cargas</v>
      </c>
      <c r="E8" s="10"/>
    </row>
    <row r="9" customFormat="false" ht="15" hidden="false" customHeight="false" outlineLevel="0" collapsed="false">
      <c r="A9" s="9" t="n">
        <v>5</v>
      </c>
      <c r="B9" s="10" t="s">
        <v>411</v>
      </c>
      <c r="C9" s="9" t="s">
        <v>141</v>
      </c>
      <c r="D9" s="10" t="str">
        <f aca="false">IFERROR(INDEX(Hallazgos!$E$5:$E$48,MATCH(C9,Hallazgos!$A$5:$A$48,0)),INDEX('Otros procesos'!$D$5:$D$9,MATCH(C9,'Otros procesos'!$A$5:$A$9,0)))</f>
        <v>Cuando se sabe que no se llega, la fecha no se renegocia con el cliente</v>
      </c>
      <c r="E9" s="10" t="s">
        <v>412</v>
      </c>
    </row>
    <row r="10" customFormat="false" ht="23.85" hidden="false" customHeight="false" outlineLevel="0" collapsed="false">
      <c r="A10" s="9" t="n">
        <v>6</v>
      </c>
      <c r="B10" s="10" t="s">
        <v>413</v>
      </c>
      <c r="C10" s="9" t="s">
        <v>394</v>
      </c>
      <c r="D10" s="10" t="str">
        <f aca="false">IFERROR(INDEX(Hallazgos!$E$5:$E$48,MATCH(C10,Hallazgos!$A$5:$A$48,0)),INDEX('Otros procesos'!$D$5:$D$9,MATCH(C10,'Otros procesos'!$A$5:$A$9,0)))</f>
        <v>Cartera con errores (cantidades mayores que el pedido, fechas imposibles) y pedidos servidos sin saldar</v>
      </c>
      <c r="E10" s="10" t="s">
        <v>414</v>
      </c>
    </row>
    <row r="11" customFormat="false" ht="15" hidden="false" customHeight="false" outlineLevel="0" collapsed="false">
      <c r="A11" s="9" t="n">
        <v>7</v>
      </c>
      <c r="B11" s="10" t="s">
        <v>415</v>
      </c>
      <c r="C11" s="9" t="s">
        <v>159</v>
      </c>
      <c r="D11" s="10" t="str">
        <f aca="false">IFERROR(INDEX(Hallazgos!$E$5:$E$48,MATCH(C11,Hallazgos!$A$5:$A$48,0)),INDEX('Otros procesos'!$D$5:$D$9,MATCH(C11,'Otros procesos'!$A$5:$A$9,0)))</f>
        <v>La propuesta del sistema se corrige a mano de forma sistemática y sin registrar el motivo</v>
      </c>
      <c r="E11" s="10"/>
    </row>
    <row r="12" customFormat="false" ht="15" hidden="false" customHeight="false" outlineLevel="0" collapsed="false">
      <c r="A12" s="9" t="n">
        <v>8</v>
      </c>
      <c r="B12" s="10" t="s">
        <v>416</v>
      </c>
      <c r="C12" s="9" t="s">
        <v>173</v>
      </c>
      <c r="D12" s="10" t="str">
        <f aca="false">IFERROR(INDEX(Hallazgos!$E$5:$E$48,MATCH(C12,Hallazgos!$A$5:$A$48,0)),INDEX('Otros procesos'!$D$5:$D$9,MATCH(C12,'Otros procesos'!$A$5:$A$9,0)))</f>
        <v>Las faltas se revisan todas a mano, sin criticidad ni gestión por excepción</v>
      </c>
      <c r="E12" s="10"/>
    </row>
    <row r="13" customFormat="false" ht="15" hidden="false" customHeight="false" outlineLevel="0" collapsed="false">
      <c r="A13" s="9" t="n">
        <v>9</v>
      </c>
      <c r="B13" s="10" t="s">
        <v>417</v>
      </c>
      <c r="C13" s="9" t="s">
        <v>190</v>
      </c>
      <c r="D13" s="10" t="str">
        <f aca="false">IFERROR(INDEX(Hallazgos!$E$5:$E$48,MATCH(C13,Hallazgos!$A$5:$A$48,0)),INDEX('Otros procesos'!$D$5:$D$9,MATCH(C13,'Otros procesos'!$A$5:$A$9,0)))</f>
        <v>La secuencia se hace a mano, sin optimizar los cambios (molde, formato, altura, color)</v>
      </c>
      <c r="E13" s="10"/>
    </row>
    <row r="15" customFormat="false" ht="15" hidden="false" customHeight="false" outlineLevel="0" collapsed="false">
      <c r="A15" s="3" t="s">
        <v>5</v>
      </c>
    </row>
    <row r="16" customFormat="false" ht="15" hidden="false" customHeight="false" outlineLevel="0" collapsed="false">
      <c r="A16" s="8" t="s">
        <v>401</v>
      </c>
      <c r="B16" s="8" t="s">
        <v>418</v>
      </c>
      <c r="C16" s="8" t="s">
        <v>403</v>
      </c>
      <c r="D16" s="8" t="s">
        <v>419</v>
      </c>
      <c r="E16" s="8" t="s">
        <v>420</v>
      </c>
    </row>
    <row r="17" customFormat="false" ht="15" hidden="false" customHeight="false" outlineLevel="0" collapsed="false">
      <c r="A17" s="9" t="s">
        <v>421</v>
      </c>
      <c r="B17" s="10" t="s">
        <v>422</v>
      </c>
      <c r="C17" s="9" t="s">
        <v>86</v>
      </c>
      <c r="D17" s="10" t="str">
        <f aca="false">IFERROR(INDEX(Palancas!$C$5:$C$31,MATCH(C17,Palancas!$A$5:$A$31,0)),INDEX('Otros procesos'!$H$5:$H$9,MATCH(C17,'Otros procesos'!$A$5:$A$9,0)))</f>
        <v>Calendario de demanda con día de cierre y mes en curso congelado</v>
      </c>
      <c r="E17" s="10" t="s">
        <v>102</v>
      </c>
    </row>
    <row r="18" customFormat="false" ht="15" hidden="false" customHeight="false" outlineLevel="0" collapsed="false">
      <c r="A18" s="9" t="s">
        <v>423</v>
      </c>
      <c r="B18" s="10" t="s">
        <v>424</v>
      </c>
      <c r="C18" s="9" t="s">
        <v>119</v>
      </c>
      <c r="D18" s="10" t="str">
        <f aca="false">IFERROR(INDEX(Palancas!$C$5:$C$31,MATCH(C18,Palancas!$A$5:$A$31,0)),INDEX('Otros procesos'!$H$5:$H$9,MATCH(C18,'Otros procesos'!$A$5:$A$9,0)))</f>
        <v>Plan de capacidad: carga frente a capacidad por línea, con regla de turnos</v>
      </c>
      <c r="E18" s="10" t="s">
        <v>152</v>
      </c>
    </row>
    <row r="19" customFormat="false" ht="15" hidden="false" customHeight="false" outlineLevel="0" collapsed="false">
      <c r="A19" s="9" t="s">
        <v>425</v>
      </c>
      <c r="B19" s="10" t="s">
        <v>426</v>
      </c>
      <c r="C19" s="9" t="s">
        <v>127</v>
      </c>
      <c r="D19" s="10" t="str">
        <f aca="false">IFERROR(INDEX(Palancas!$C$5:$C$31,MATCH(C19,Palancas!$A$5:$A$31,0)),INDEX('Otros procesos'!$H$5:$H$9,MATCH(C19,'Otros procesos'!$A$5:$A$9,0)))</f>
        <v>Segmentación ABC/XYZ y política de stock por segmento, revisada cada trimestre</v>
      </c>
      <c r="E19" s="10"/>
    </row>
    <row r="20" customFormat="false" ht="15" hidden="false" customHeight="false" outlineLevel="0" collapsed="false">
      <c r="A20" s="9" t="s">
        <v>427</v>
      </c>
      <c r="B20" s="10" t="s">
        <v>428</v>
      </c>
      <c r="C20" s="9" t="s">
        <v>144</v>
      </c>
      <c r="D20" s="10" t="str">
        <f aca="false">IFERROR(INDEX(Palancas!$C$5:$C$31,MATCH(C20,Palancas!$A$5:$A$31,0)),INDEX('Otros procesos'!$H$5:$H$9,MATCH(C20,'Otros procesos'!$A$5:$A$9,0)))</f>
        <v>Política de cartera: una sola revisión conjunta, dos fechas en el pedido y aviso al cliente</v>
      </c>
      <c r="E20" s="10" t="s">
        <v>429</v>
      </c>
    </row>
    <row r="21" customFormat="false" ht="15" hidden="false" customHeight="false" outlineLevel="0" collapsed="false">
      <c r="A21" s="9" t="s">
        <v>430</v>
      </c>
      <c r="B21" s="10" t="s">
        <v>431</v>
      </c>
      <c r="C21" s="9" t="s">
        <v>394</v>
      </c>
      <c r="D21" s="10" t="str">
        <f aca="false">IFERROR(INDEX(Palancas!$C$5:$C$31,MATCH(C21,Palancas!$A$5:$A$31,0)),INDEX('Otros procesos'!$H$5:$H$9,MATCH(C21,'Otros procesos'!$A$5:$A$9,0)))</f>
        <v>Validación de cargas y saldado por regla</v>
      </c>
      <c r="E21" s="10"/>
    </row>
    <row r="22" customFormat="false" ht="15" hidden="false" customHeight="false" outlineLevel="0" collapsed="false">
      <c r="A22" s="9" t="s">
        <v>432</v>
      </c>
      <c r="B22" s="10" t="s">
        <v>433</v>
      </c>
      <c r="C22" s="9" t="s">
        <v>163</v>
      </c>
      <c r="D22" s="10" t="str">
        <f aca="false">IFERROR(INDEX(Palancas!$C$5:$C$31,MATCH(C22,Palancas!$A$5:$A$31,0)),INDEX('Otros procesos'!$H$5:$H$9,MATCH(C22,'Otros procesos'!$A$5:$A$9,0)))</f>
        <v>Necesidades por excepción: alertas por criticidad y motivo obligatorio en cada corrección</v>
      </c>
      <c r="E22" s="10" t="s">
        <v>172</v>
      </c>
    </row>
    <row r="23" customFormat="false" ht="15" hidden="false" customHeight="false" outlineLevel="0" collapsed="false">
      <c r="A23" s="9" t="s">
        <v>434</v>
      </c>
      <c r="B23" s="10" t="s">
        <v>435</v>
      </c>
      <c r="C23" s="9" t="s">
        <v>194</v>
      </c>
      <c r="D23" s="10" t="str">
        <f aca="false">IFERROR(INDEX(Palancas!$C$5:$C$31,MATCH(C23,Palancas!$A$5:$A$31,0)),INDEX('Otros procesos'!$H$5:$H$9,MATCH(C23,'Otros procesos'!$A$5:$A$9,0)))</f>
        <v>Secuenciador con capacidad finita, matriz de cambios y rutas alternativas</v>
      </c>
      <c r="E23" s="10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6" t="s">
        <v>437</v>
      </c>
    </row>
    <row r="2" customFormat="false" ht="15" hidden="false" customHeight="false" outlineLevel="0" collapsed="false">
      <c r="A2" s="7" t="s">
        <v>438</v>
      </c>
    </row>
    <row r="4" customFormat="false" ht="15" hidden="false" customHeight="false" outlineLevel="0" collapsed="false">
      <c r="A4" s="8" t="s">
        <v>72</v>
      </c>
      <c r="B4" s="8" t="s">
        <v>439</v>
      </c>
      <c r="C4" s="8" t="s">
        <v>440</v>
      </c>
      <c r="D4" s="8" t="s">
        <v>441</v>
      </c>
    </row>
    <row r="5" customFormat="false" ht="15" hidden="false" customHeight="false" outlineLevel="0" collapsed="false">
      <c r="A5" s="10" t="s">
        <v>79</v>
      </c>
      <c r="B5" s="9" t="n">
        <f aca="false">COUNTIFS(Hallazgos!$D$5:$D$48,A5,Hallazgos!$F$5:$F$48,"Ineficiencia (coste)")</f>
        <v>8</v>
      </c>
      <c r="C5" s="9" t="n">
        <f aca="false">COUNTIFS(Hallazgos!$D$5:$D$48,A5,Hallazgos!$F$5:$F$48,"Oportunidad (ingreso expuesto)")</f>
        <v>0</v>
      </c>
      <c r="D5" s="12" t="n">
        <f aca="false">B5+C5</f>
        <v>8</v>
      </c>
    </row>
    <row r="6" customFormat="false" ht="15" hidden="false" customHeight="false" outlineLevel="0" collapsed="false">
      <c r="A6" s="10" t="s">
        <v>111</v>
      </c>
      <c r="B6" s="9" t="n">
        <f aca="false">COUNTIFS(Hallazgos!$D$5:$D$48,A6,Hallazgos!$F$5:$F$48,"Ineficiencia (coste)")</f>
        <v>8</v>
      </c>
      <c r="C6" s="9" t="n">
        <f aca="false">COUNTIFS(Hallazgos!$D$5:$D$48,A6,Hallazgos!$F$5:$F$48,"Oportunidad (ingreso expuesto)")</f>
        <v>3</v>
      </c>
      <c r="D6" s="12" t="n">
        <f aca="false">B6+C6</f>
        <v>11</v>
      </c>
    </row>
    <row r="7" customFormat="false" ht="15" hidden="false" customHeight="false" outlineLevel="0" collapsed="false">
      <c r="A7" s="10" t="s">
        <v>160</v>
      </c>
      <c r="B7" s="9" t="n">
        <f aca="false">COUNTIFS(Hallazgos!$D$5:$D$48,A7,Hallazgos!$F$5:$F$48,"Ineficiencia (coste)")</f>
        <v>8</v>
      </c>
      <c r="C7" s="9" t="n">
        <f aca="false">COUNTIFS(Hallazgos!$D$5:$D$48,A7,Hallazgos!$F$5:$F$48,"Oportunidad (ingreso expuesto)")</f>
        <v>0</v>
      </c>
      <c r="D7" s="12" t="n">
        <f aca="false">B7+C7</f>
        <v>8</v>
      </c>
    </row>
    <row r="8" customFormat="false" ht="15" hidden="false" customHeight="false" outlineLevel="0" collapsed="false">
      <c r="A8" s="10" t="s">
        <v>191</v>
      </c>
      <c r="B8" s="9" t="n">
        <f aca="false">COUNTIFS(Hallazgos!$D$5:$D$48,A8,Hallazgos!$F$5:$F$48,"Ineficiencia (coste)")</f>
        <v>6</v>
      </c>
      <c r="C8" s="9" t="n">
        <f aca="false">COUNTIFS(Hallazgos!$D$5:$D$48,A8,Hallazgos!$F$5:$F$48,"Oportunidad (ingreso expuesto)")</f>
        <v>0</v>
      </c>
      <c r="D8" s="12" t="n">
        <f aca="false">B8+C8</f>
        <v>6</v>
      </c>
    </row>
    <row r="9" customFormat="false" ht="15" hidden="false" customHeight="false" outlineLevel="0" collapsed="false">
      <c r="A9" s="10" t="s">
        <v>213</v>
      </c>
      <c r="B9" s="9" t="n">
        <f aca="false">COUNTIFS(Hallazgos!$D$5:$D$48,A9,Hallazgos!$F$5:$F$48,"Ineficiencia (coste)")</f>
        <v>4</v>
      </c>
      <c r="C9" s="9" t="n">
        <f aca="false">COUNTIFS(Hallazgos!$D$5:$D$48,A9,Hallazgos!$F$5:$F$48,"Oportunidad (ingreso expuesto)")</f>
        <v>0</v>
      </c>
      <c r="D9" s="12" t="n">
        <f aca="false">B9+C9</f>
        <v>4</v>
      </c>
    </row>
    <row r="10" customFormat="false" ht="15" hidden="false" customHeight="false" outlineLevel="0" collapsed="false">
      <c r="A10" s="10" t="s">
        <v>227</v>
      </c>
      <c r="B10" s="9" t="n">
        <f aca="false">COUNTIFS(Hallazgos!$D$5:$D$48,A10,Hallazgos!$F$5:$F$48,"Ineficiencia (coste)")</f>
        <v>2</v>
      </c>
      <c r="C10" s="9" t="n">
        <f aca="false">COUNTIFS(Hallazgos!$D$5:$D$48,A10,Hallazgos!$F$5:$F$48,"Oportunidad (ingreso expuesto)")</f>
        <v>2</v>
      </c>
      <c r="D10" s="12" t="n">
        <f aca="false">B10+C10</f>
        <v>4</v>
      </c>
    </row>
    <row r="11" customFormat="false" ht="15" hidden="false" customHeight="false" outlineLevel="0" collapsed="false">
      <c r="A11" s="10" t="s">
        <v>244</v>
      </c>
      <c r="B11" s="9" t="n">
        <f aca="false">COUNTIFS(Hallazgos!$D$5:$D$48,A11,Hallazgos!$F$5:$F$48,"Ineficiencia (coste)")</f>
        <v>3</v>
      </c>
      <c r="C11" s="9" t="n">
        <f aca="false">COUNTIFS(Hallazgos!$D$5:$D$48,A11,Hallazgos!$F$5:$F$48,"Oportunidad (ingreso expuesto)")</f>
        <v>0</v>
      </c>
      <c r="D11" s="12" t="n">
        <f aca="false">B11+C11</f>
        <v>3</v>
      </c>
    </row>
    <row r="12" customFormat="false" ht="15" hidden="false" customHeight="false" outlineLevel="0" collapsed="false">
      <c r="A12" s="13" t="s">
        <v>441</v>
      </c>
      <c r="B12" s="12" t="n">
        <f aca="false">SUM(B5:B11)</f>
        <v>39</v>
      </c>
      <c r="C12" s="12" t="n">
        <f aca="false">SUM(C5:C11)</f>
        <v>5</v>
      </c>
      <c r="D12" s="12" t="n">
        <f aca="false">SUM(D5:D11)</f>
        <v>44</v>
      </c>
    </row>
    <row r="15" customFormat="false" ht="15" hidden="false" customHeight="false" outlineLevel="0" collapsed="false">
      <c r="A15" s="8" t="s">
        <v>22</v>
      </c>
      <c r="B15" s="8" t="s">
        <v>3</v>
      </c>
    </row>
    <row r="16" customFormat="false" ht="15" hidden="false" customHeight="false" outlineLevel="0" collapsed="false">
      <c r="A16" s="10" t="s">
        <v>23</v>
      </c>
      <c r="B16" s="9" t="n">
        <f aca="false">COUNTIF(Hallazgos!$G$5:$G$48,A16)</f>
        <v>9</v>
      </c>
    </row>
    <row r="17" customFormat="false" ht="15" hidden="false" customHeight="false" outlineLevel="0" collapsed="false">
      <c r="A17" s="10" t="s">
        <v>25</v>
      </c>
      <c r="B17" s="9" t="n">
        <f aca="false">COUNTIF(Hallazgos!$G$5:$G$48,A17)</f>
        <v>2</v>
      </c>
    </row>
    <row r="18" customFormat="false" ht="15" hidden="false" customHeight="false" outlineLevel="0" collapsed="false">
      <c r="A18" s="10" t="s">
        <v>27</v>
      </c>
      <c r="B18" s="9" t="n">
        <f aca="false">COUNTIF(Hallazgos!$G$5:$G$48,A18)</f>
        <v>13</v>
      </c>
    </row>
    <row r="19" customFormat="false" ht="15" hidden="false" customHeight="false" outlineLevel="0" collapsed="false">
      <c r="A19" s="10" t="s">
        <v>29</v>
      </c>
      <c r="B19" s="9" t="n">
        <f aca="false">COUNTIF(Hallazgos!$G$5:$G$48,A19)</f>
        <v>15</v>
      </c>
    </row>
    <row r="20" customFormat="false" ht="15" hidden="false" customHeight="false" outlineLevel="0" collapsed="false">
      <c r="A20" s="10" t="s">
        <v>31</v>
      </c>
      <c r="B20" s="9" t="n">
        <f aca="false">COUNTIF(Hallazgos!$G$5:$G$48,A20)</f>
        <v>5</v>
      </c>
    </row>
    <row r="23" customFormat="false" ht="15" hidden="false" customHeight="false" outlineLevel="0" collapsed="false">
      <c r="A23" s="8" t="s">
        <v>442</v>
      </c>
      <c r="B23" s="8" t="s">
        <v>5</v>
      </c>
      <c r="C23" s="8" t="s">
        <v>443</v>
      </c>
    </row>
    <row r="24" customFormat="false" ht="15" hidden="false" customHeight="false" outlineLevel="0" collapsed="false">
      <c r="A24" s="10" t="s">
        <v>34</v>
      </c>
      <c r="B24" s="9" t="n">
        <f aca="false">COUNTIF(Palancas!$D$5:$D$31,A24)</f>
        <v>10</v>
      </c>
      <c r="C24" s="9" t="n">
        <f aca="false">COUNTIFS(Palancas!$D$5:$D$31,A24,Palancas!$F$5:$F$31,"Sí")</f>
        <v>1</v>
      </c>
    </row>
    <row r="25" customFormat="false" ht="15" hidden="false" customHeight="false" outlineLevel="0" collapsed="false">
      <c r="A25" s="10" t="s">
        <v>36</v>
      </c>
      <c r="B25" s="9" t="n">
        <f aca="false">COUNTIF(Palancas!$D$5:$D$31,A25)</f>
        <v>3</v>
      </c>
      <c r="C25" s="9" t="n">
        <f aca="false">COUNTIFS(Palancas!$D$5:$D$31,A25,Palancas!$F$5:$F$31,"Sí")</f>
        <v>0</v>
      </c>
    </row>
    <row r="26" customFormat="false" ht="15" hidden="false" customHeight="false" outlineLevel="0" collapsed="false">
      <c r="A26" s="10" t="s">
        <v>38</v>
      </c>
      <c r="B26" s="9" t="n">
        <f aca="false">COUNTIF(Palancas!$D$5:$D$31,A26)</f>
        <v>9</v>
      </c>
      <c r="C26" s="9" t="n">
        <f aca="false">COUNTIFS(Palancas!$D$5:$D$31,A26,Palancas!$F$5:$F$31,"Sí")</f>
        <v>3</v>
      </c>
    </row>
    <row r="27" customFormat="false" ht="15" hidden="false" customHeight="false" outlineLevel="0" collapsed="false">
      <c r="A27" s="10" t="s">
        <v>40</v>
      </c>
      <c r="B27" s="9" t="n">
        <f aca="false">COUNTIF(Palancas!$D$5:$D$31,A27)</f>
        <v>2</v>
      </c>
      <c r="C27" s="9" t="n">
        <f aca="false">COUNTIFS(Palancas!$D$5:$D$31,A27,Palancas!$F$5:$F$31,"Sí")</f>
        <v>1</v>
      </c>
    </row>
    <row r="28" customFormat="false" ht="15" hidden="false" customHeight="false" outlineLevel="0" collapsed="false">
      <c r="A28" s="10" t="s">
        <v>42</v>
      </c>
      <c r="B28" s="9" t="n">
        <f aca="false">COUNTIF(Palancas!$D$5:$D$31,A28)</f>
        <v>0</v>
      </c>
      <c r="C28" s="9" t="n">
        <f aca="false">COUNTIFS(Palancas!$D$5:$D$31,A28,Palancas!$F$5:$F$31,"Sí")</f>
        <v>0</v>
      </c>
    </row>
    <row r="29" customFormat="false" ht="15" hidden="false" customHeight="false" outlineLevel="0" collapsed="false">
      <c r="A29" s="10" t="s">
        <v>44</v>
      </c>
      <c r="B29" s="9" t="n">
        <f aca="false">COUNTIF(Palancas!$D$5:$D$31,A29)</f>
        <v>1</v>
      </c>
      <c r="C29" s="9" t="n">
        <f aca="false">COUNTIFS(Palancas!$D$5:$D$31,A29,Palancas!$F$5:$F$31,"Sí")</f>
        <v>0</v>
      </c>
    </row>
    <row r="30" customFormat="false" ht="15" hidden="false" customHeight="false" outlineLevel="0" collapsed="false">
      <c r="A30" s="10" t="s">
        <v>46</v>
      </c>
      <c r="B30" s="9" t="n">
        <f aca="false">COUNTIF(Palancas!$D$5:$D$31,A30)</f>
        <v>0</v>
      </c>
      <c r="C30" s="9" t="n">
        <f aca="false">COUNTIFS(Palancas!$D$5:$D$31,A30,Palancas!$F$5:$F$31,"Sí")</f>
        <v>0</v>
      </c>
    </row>
    <row r="31" customFormat="false" ht="15" hidden="false" customHeight="false" outlineLevel="0" collapsed="false">
      <c r="A31" s="10" t="s">
        <v>48</v>
      </c>
      <c r="B31" s="9" t="n">
        <f aca="false">COUNTIF(Palancas!$D$5:$D$31,A31)</f>
        <v>2</v>
      </c>
      <c r="C31" s="9" t="n">
        <f aca="false">COUNTIFS(Palancas!$D$5:$D$31,A31,Palancas!$F$5:$F$31,"Sí")</f>
        <v>0</v>
      </c>
    </row>
    <row r="34" customFormat="false" ht="15" hidden="false" customHeight="false" outlineLevel="0" collapsed="false">
      <c r="A34" s="8" t="s">
        <v>444</v>
      </c>
      <c r="B34" s="8" t="s">
        <v>445</v>
      </c>
    </row>
    <row r="35" customFormat="false" ht="15" hidden="false" customHeight="false" outlineLevel="0" collapsed="false">
      <c r="A35" s="10" t="s">
        <v>446</v>
      </c>
      <c r="B35" s="12" t="n">
        <f aca="false">COUNTIF(Hallazgos!$J$5:$J$48,0)</f>
        <v>0</v>
      </c>
    </row>
    <row r="36" customFormat="false" ht="15" hidden="false" customHeight="false" outlineLevel="0" collapsed="false">
      <c r="A36" s="10" t="s">
        <v>447</v>
      </c>
      <c r="B36" s="12" t="n">
        <f aca="false">COUNTIF(Palancas!$H$5:$H$31,0)</f>
        <v>0</v>
      </c>
    </row>
    <row r="37" customFormat="false" ht="15" hidden="false" customHeight="false" outlineLevel="0" collapsed="false">
      <c r="A37" s="10" t="s">
        <v>448</v>
      </c>
      <c r="B37" s="12" t="n">
        <f aca="false">COUNTA(Relación!$A$5:$A$53)</f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42"/>
  </cols>
  <sheetData>
    <row r="1" customFormat="false" ht="15" hidden="false" customHeight="false" outlineLevel="0" collapsed="false">
      <c r="A1" s="14" t="s">
        <v>72</v>
      </c>
      <c r="B1" s="14" t="s">
        <v>17</v>
      </c>
      <c r="C1" s="14" t="s">
        <v>22</v>
      </c>
      <c r="D1" s="14" t="s">
        <v>449</v>
      </c>
      <c r="E1" s="14" t="s">
        <v>450</v>
      </c>
    </row>
    <row r="2" customFormat="false" ht="15" hidden="false" customHeight="false" outlineLevel="0" collapsed="false">
      <c r="A2" s="15" t="s">
        <v>79</v>
      </c>
      <c r="B2" s="15" t="s">
        <v>18</v>
      </c>
      <c r="C2" s="15" t="s">
        <v>23</v>
      </c>
      <c r="D2" s="15" t="s">
        <v>34</v>
      </c>
      <c r="E2" s="15" t="s">
        <v>266</v>
      </c>
    </row>
    <row r="3" customFormat="false" ht="15" hidden="false" customHeight="false" outlineLevel="0" collapsed="false">
      <c r="A3" s="15" t="s">
        <v>111</v>
      </c>
      <c r="B3" s="15" t="s">
        <v>20</v>
      </c>
      <c r="C3" s="15" t="s">
        <v>25</v>
      </c>
      <c r="D3" s="15" t="s">
        <v>36</v>
      </c>
      <c r="E3" s="15" t="s">
        <v>271</v>
      </c>
    </row>
    <row r="4" customFormat="false" ht="15" hidden="false" customHeight="false" outlineLevel="0" collapsed="false">
      <c r="A4" s="15" t="s">
        <v>160</v>
      </c>
      <c r="C4" s="15" t="s">
        <v>27</v>
      </c>
      <c r="D4" s="15" t="s">
        <v>38</v>
      </c>
    </row>
    <row r="5" customFormat="false" ht="15" hidden="false" customHeight="false" outlineLevel="0" collapsed="false">
      <c r="A5" s="15" t="s">
        <v>191</v>
      </c>
      <c r="C5" s="15" t="s">
        <v>29</v>
      </c>
      <c r="D5" s="15" t="s">
        <v>40</v>
      </c>
    </row>
    <row r="6" customFormat="false" ht="15" hidden="false" customHeight="false" outlineLevel="0" collapsed="false">
      <c r="A6" s="15" t="s">
        <v>213</v>
      </c>
      <c r="C6" s="15" t="s">
        <v>31</v>
      </c>
      <c r="D6" s="15" t="s">
        <v>42</v>
      </c>
    </row>
    <row r="7" customFormat="false" ht="15" hidden="false" customHeight="false" outlineLevel="0" collapsed="false">
      <c r="A7" s="15" t="s">
        <v>227</v>
      </c>
      <c r="D7" s="15" t="s">
        <v>44</v>
      </c>
    </row>
    <row r="8" customFormat="false" ht="15" hidden="false" customHeight="false" outlineLevel="0" collapsed="false">
      <c r="A8" s="15" t="s">
        <v>244</v>
      </c>
      <c r="D8" s="15" t="s">
        <v>46</v>
      </c>
    </row>
    <row r="9" customFormat="false" ht="15" hidden="false" customHeight="false" outlineLevel="0" collapsed="false">
      <c r="D9" s="15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2026-10-16T09:31:29Z</dcterms:created>
  <dc:creator>openpyxl</dc:creator>
  <dc:description/>
  <dc:language>en-US</dc:language>
  <cp:lastModifiedBy/>
  <dcterms:modified xsi:type="dcterms:W3CDTF">2026-10-16T09:31:30Z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