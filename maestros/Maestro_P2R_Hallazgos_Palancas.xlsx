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llazgos" sheetId="1" state="visible" r:id="rId3"/>
    <sheet name="Palancas" sheetId="2" state="visible" r:id="rId4"/>
    <sheet name="Relación" sheetId="3" state="visible" r:id="rId5"/>
    <sheet name="Detalle hallazgos" sheetId="4" state="visible" r:id="rId6"/>
    <sheet name="Detalle palancas" sheetId="5" state="visible" r:id="rId7"/>
    <sheet name="Otros procesos" sheetId="6" state="visible" r:id="rId8"/>
    <sheet name="Ondupet" sheetId="7" state="visible" r:id="rId9"/>
  </sheets>
  <definedNames>
    <definedName function="false" hidden="true" localSheetId="3" name="_xlnm._FilterDatabase" vbProcedure="false">'Detalle hallazgos'!$A$4:$J$39</definedName>
    <definedName function="false" hidden="true" localSheetId="4" name="_xlnm._FilterDatabase" vbProcedure="false">'Detalle palancas'!$A$4:$K$28</definedName>
    <definedName function="false" hidden="true" localSheetId="0" name="_xlnm._FilterDatabase" vbProcedure="false">Hallazgos!$A$4:$M$15</definedName>
    <definedName function="false" hidden="true" localSheetId="5" name="_xlnm._FilterDatabase" vbProcedure="false">'Otros procesos'!$A$4:$H$9</definedName>
    <definedName function="false" hidden="true" localSheetId="1" name="_xlnm._FilterDatabase" vbProcedure="false">Palancas!$A$4:$I$12</definedName>
    <definedName function="false" hidden="true" localSheetId="2" name="_xlnm._FilterDatabase" vbProcedure="false">Relación!$A$4:$E$16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<sst xmlns="http://schemas.openxmlformats.org/spreadsheetml/2006/main" count="847" uniqueCount="446">
  <si>
    <t xml:space="preserve">Maestro de hallazgos · Plan to Release (P2R) · nivel alto</t>
  </si>
  <si>
    <t xml:space="preserve">Genérico para cualquier empresa. El paso concreto y la cuantificación se ponen al usarlo en cada celda. El detalle, para bajar a intervenciones, está en «Detalle hallazgos».</t>
  </si>
  <si>
    <t xml:space="preserve">ID</t>
  </si>
  <si>
    <t xml:space="preserve">Proceso</t>
  </si>
  <si>
    <t xml:space="preserve">Orden</t>
  </si>
  <si>
    <t xml:space="preserve">Fase</t>
  </si>
  <si>
    <t xml:space="preserve">Hallazgo</t>
  </si>
  <si>
    <t xml:space="preserve">Descripción</t>
  </si>
  <si>
    <t xml:space="preserve">Familia</t>
  </si>
  <si>
    <t xml:space="preserve">Naturaleza</t>
  </si>
  <si>
    <t xml:space="preserve">Métrica (volumen expuesto)</t>
  </si>
  <si>
    <t xml:space="preserve">Palancas</t>
  </si>
  <si>
    <t xml:space="preserve">Nº palancas</t>
  </si>
  <si>
    <t xml:space="preserve">Nº detalle</t>
  </si>
  <si>
    <t xml:space="preserve">Notas</t>
  </si>
  <si>
    <t xml:space="preserve">H01</t>
  </si>
  <si>
    <t xml:space="preserve">P2R</t>
  </si>
  <si>
    <t xml:space="preserve">Demanda y previsión</t>
  </si>
  <si>
    <t xml:space="preserve">Demanda sin previsión fiable</t>
  </si>
  <si>
    <t xml:space="preserve">No hay previsión, o la que hay no se cierra, no se consensúa ni se mide: el plan trabaja con una demanda que cambia o que no se conoce, y la demanda perdida no se registra.</t>
  </si>
  <si>
    <t xml:space="preserve">Ineficiencia (coste)</t>
  </si>
  <si>
    <t xml:space="preserve">Circulante × CMPC</t>
  </si>
  <si>
    <t xml:space="preserve">€ de demanda mensual planificada sin previsión cerrada y consensuada</t>
  </si>
  <si>
    <t xml:space="preserve">PL01</t>
  </si>
  <si>
    <t xml:space="preserve">Agrupa «Previsión inestable», «Previsión sin medición ni aprendizaje» y «Sin previsión de demanda»: cada celda describe su caso.</t>
  </si>
  <si>
    <t xml:space="preserve">H03</t>
  </si>
  <si>
    <t xml:space="preserve">S&amp;OP y Plan Maestro</t>
  </si>
  <si>
    <t xml:space="preserve">Demanda y capacidad sin equilibrar</t>
  </si>
  <si>
    <t xml:space="preserve">Sin S&amp;OP, la capacidad (turnos, reservas, intercompany) se decide por intuición y a mano, y el desequilibrio se arregla con urgencias.</t>
  </si>
  <si>
    <t xml:space="preserve">Transformación (horas de línea, mermas)</t>
  </si>
  <si>
    <t xml:space="preserve">Horas de línea y turnos no ajustados a la carga / mes</t>
  </si>
  <si>
    <t xml:space="preserve">PL02</t>
  </si>
  <si>
    <t xml:space="preserve">Si pesan más las horas extra que las horas de línea, usa Fuga de P&amp;L.</t>
  </si>
  <si>
    <t xml:space="preserve">H04</t>
  </si>
  <si>
    <t xml:space="preserve">Stock sin política</t>
  </si>
  <si>
    <t xml:space="preserve">Sin segmentación ni estrategia por material, sobra stock de unos y falta de otros, en producto terminado y en materias primas.</t>
  </si>
  <si>
    <t xml:space="preserve">€ de stock fuera de política (exceso y obsoleto)</t>
  </si>
  <si>
    <t xml:space="preserve">PL03</t>
  </si>
  <si>
    <t xml:space="preserve">La política la decide Planificación; el dato se guarda en R2M.</t>
  </si>
  <si>
    <t xml:space="preserve">H05</t>
  </si>
  <si>
    <t xml:space="preserve">Fecha al cliente no fiable</t>
  </si>
  <si>
    <t xml:space="preserve">La fecha se promete sin comprobar disponibilidad, no se renegocia cuando no se llega y hay roturas en lo que debería estar en stock.</t>
  </si>
  <si>
    <t xml:space="preserve">Oportunidad (ingreso expuesto)</t>
  </si>
  <si>
    <t xml:space="preserve">Ingreso expuesto</t>
  </si>
  <si>
    <t xml:space="preserve">€ de pedidos / mes entregados tarde o no servidos</t>
  </si>
  <si>
    <t xml:space="preserve">PL04, PL03</t>
  </si>
  <si>
    <t xml:space="preserve">Comparte ingreso con H11: cuantifica solo uno por celda.</t>
  </si>
  <si>
    <t xml:space="preserve">H06</t>
  </si>
  <si>
    <t xml:space="preserve">Necesidades y Aprovisionamiento</t>
  </si>
  <si>
    <t xml:space="preserve">Faltas tardías y gestionadas a mano</t>
  </si>
  <si>
    <t xml:space="preserve">El MRP corre con poca frecuencia, las faltas se revisan todas a mano y acaban en compras y transportes urgentes.</t>
  </si>
  <si>
    <t xml:space="preserve">Fuga de P&amp;L</t>
  </si>
  <si>
    <t xml:space="preserve">€ de sobrecoste urgente por faltas / mes</t>
  </si>
  <si>
    <t xml:space="preserve">PL05</t>
  </si>
  <si>
    <t xml:space="preserve">H07</t>
  </si>
  <si>
    <t xml:space="preserve">Necesidades poco fiables</t>
  </si>
  <si>
    <t xml:space="preserve">Parámetros desactualizados, producto terminado y semielaborado sin sincronizar y agrupación de lotes a mano.</t>
  </si>
  <si>
    <t xml:space="preserve">€ de stock de semielaborado y materia prima por encima de la necesidad</t>
  </si>
  <si>
    <t xml:space="preserve">H08</t>
  </si>
  <si>
    <t xml:space="preserve">Programación</t>
  </si>
  <si>
    <t xml:space="preserve">Secuencia sin optimizar</t>
  </si>
  <si>
    <t xml:space="preserve">Se secuencia a mano, sin capacidad finita y con la ruta por defecto.</t>
  </si>
  <si>
    <t xml:space="preserve">Horas de cambio y de sobrecarga / semana</t>
  </si>
  <si>
    <t xml:space="preserve">PL06</t>
  </si>
  <si>
    <t xml:space="preserve">H09</t>
  </si>
  <si>
    <t xml:space="preserve">Programa inestable</t>
  </si>
  <si>
    <t xml:space="preserve">Sin zona congelada ni reglas de prioridad, las urgencias obligan a resecuenciar.</t>
  </si>
  <si>
    <t xml:space="preserve">Resecuenciaciones / semana</t>
  </si>
  <si>
    <t xml:space="preserve">H10</t>
  </si>
  <si>
    <t xml:space="preserve">Liberación</t>
  </si>
  <si>
    <t xml:space="preserve">Liberación sin control</t>
  </si>
  <si>
    <t xml:space="preserve">Se libera sin confirmar material, utillaje y aprovisionamiento a línea, y sin ventana de liberación.</t>
  </si>
  <si>
    <t xml:space="preserve">Arranques fallidos / mes</t>
  </si>
  <si>
    <t xml:space="preserve">PL07</t>
  </si>
  <si>
    <t xml:space="preserve">H11</t>
  </si>
  <si>
    <t xml:space="preserve">Seguimiento y Control</t>
  </si>
  <si>
    <t xml:space="preserve">Servicio sin control</t>
  </si>
  <si>
    <t xml:space="preserve">No hay KPIs formales de servicio ni de adherencia al programa, y los atrasos se ven cuando ya han ocurrido.</t>
  </si>
  <si>
    <t xml:space="preserve">€ de pedidos atrasados sin aviso / mes</t>
  </si>
  <si>
    <t xml:space="preserve">PL08</t>
  </si>
  <si>
    <t xml:space="preserve">Comparte ingreso con H05: cuantifica solo uno por celda.</t>
  </si>
  <si>
    <t xml:space="preserve">H12</t>
  </si>
  <si>
    <t xml:space="preserve">Ciclo sin aprendizaje</t>
  </si>
  <si>
    <t xml:space="preserve">Las desviaciones no tienen análisis de causa ni vuelven a la previsión ni a los parámetros, y el seguimiento se hace a mano.</t>
  </si>
  <si>
    <t xml:space="preserve">Desviaciones repetidas sin causa / mes</t>
  </si>
  <si>
    <t xml:space="preserve">Maestro de palancas · Plan to Release (P2R) · nivel alto</t>
  </si>
  <si>
    <t xml:space="preserve">La palanca dice qué cambia. Cómo se hace (acciones, automatizaciones y agentes) se trabajará en las intervenciones, a partir de «Detalle palancas».</t>
  </si>
  <si>
    <t xml:space="preserve">Palanca</t>
  </si>
  <si>
    <t xml:space="preserve">Qué cambia</t>
  </si>
  <si>
    <t xml:space="preserve">Hallazgos que resuelve</t>
  </si>
  <si>
    <t xml:space="preserve">Nº hallazgos</t>
  </si>
  <si>
    <t xml:space="preserve">KPI</t>
  </si>
  <si>
    <t xml:space="preserve">Detalle (para intervenciones)</t>
  </si>
  <si>
    <t xml:space="preserve">Gestión de la demanda</t>
  </si>
  <si>
    <t xml:space="preserve">Hay previsión, al menos de la demanda repetitiva; se cierra en fecha, se consensúa cada mes entre Comercial y Planificación, cubre el horizonte de las decisiones y se mide y corrige.</t>
  </si>
  <si>
    <t xml:space="preserve">Precisión y sesgo por familia · cambios tras el cierre</t>
  </si>
  <si>
    <t xml:space="preserve">D-PL01, D-PL02, D-PL03, D-PL04, D-PL05</t>
  </si>
  <si>
    <t xml:space="preserve">S&amp;OP y plan de capacidad</t>
  </si>
  <si>
    <t xml:space="preserve">Demanda y capacidad se equilibran cada mes, con datos y con dirección: turnos, reservas de capacidad e intercompany se deciden con escenarios, no con urgencias.</t>
  </si>
  <si>
    <t xml:space="preserve">Ocupación real frente a planificada · horas extra no planificadas</t>
  </si>
  <si>
    <t xml:space="preserve">D-PL06, D-PL07, D-PL12, D-PL13</t>
  </si>
  <si>
    <t xml:space="preserve">Política de inventario por segmento</t>
  </si>
  <si>
    <t xml:space="preserve">Cada material, de producto terminado y de materia prima, tiene segmento, estrategia y stock objetivo, revisados periódicamente.</t>
  </si>
  <si>
    <t xml:space="preserve">H04, H05</t>
  </si>
  <si>
    <t xml:space="preserve">€ de stock fuera de política · roturas</t>
  </si>
  <si>
    <t xml:space="preserve">D-PL09</t>
  </si>
  <si>
    <t xml:space="preserve">PL04</t>
  </si>
  <si>
    <t xml:space="preserve">Promesa de fecha fiable</t>
  </si>
  <si>
    <t xml:space="preserve">La fecha al cliente se confirma con disponibilidad real y se renegocia en cuanto se sabe que no se llega.</t>
  </si>
  <si>
    <t xml:space="preserve">OTIF a fecha confirmada</t>
  </si>
  <si>
    <t xml:space="preserve">D-PL10, D-PL11, D-PL25</t>
  </si>
  <si>
    <t xml:space="preserve">Planificación de materiales por excepción</t>
  </si>
  <si>
    <t xml:space="preserve">Las necesidades se calculan a tiempo, con parámetros vigentes y en todos los niveles, y el planificador solo atiende las excepciones críticas.</t>
  </si>
  <si>
    <t xml:space="preserve">H06, H07</t>
  </si>
  <si>
    <t xml:space="preserve">€ urgentes por faltas · faltas detectadas a tiempo</t>
  </si>
  <si>
    <t xml:space="preserve">D-PL14, D-PL15, D-PL16, D-PL17, D-PL18</t>
  </si>
  <si>
    <t xml:space="preserve">Programación estable y optimizada</t>
  </si>
  <si>
    <t xml:space="preserve">El programa respeta la capacidad, minimiza los cambios y solo se modifica dentro de reglas: zona congelada y prioridades.</t>
  </si>
  <si>
    <t xml:space="preserve">H08, H09</t>
  </si>
  <si>
    <t xml:space="preserve">Horas de cambio · adherencia al programa</t>
  </si>
  <si>
    <t xml:space="preserve">D-PL08, D-PL19, D-PL20</t>
  </si>
  <si>
    <t xml:space="preserve">Liberación controlada</t>
  </si>
  <si>
    <t xml:space="preserve">Una orden solo se libera con material, utillaje y aprovisionamiento a línea confirmados, y dentro de su ventana.</t>
  </si>
  <si>
    <t xml:space="preserve">Arranques fallidos</t>
  </si>
  <si>
    <t xml:space="preserve">D-PL22</t>
  </si>
  <si>
    <t xml:space="preserve">Control del servicio y mejora continua</t>
  </si>
  <si>
    <t xml:space="preserve">Servicio y adherencia se miden solos, los riesgos se avisan antes y cada desviación tiene causa y una acción que vuelve a la planificación.</t>
  </si>
  <si>
    <t xml:space="preserve">H11, H12</t>
  </si>
  <si>
    <t xml:space="preserve">OTIF · desviaciones con causa</t>
  </si>
  <si>
    <t xml:space="preserve">D-PL23, D-PL24</t>
  </si>
  <si>
    <t xml:space="preserve">Relación palanca ↔ hallazgo · nivel alto</t>
  </si>
  <si>
    <t xml:space="preserve">Una fila por par, lista para importar.</t>
  </si>
  <si>
    <t xml:space="preserve">Texto de la palanca</t>
  </si>
  <si>
    <t xml:space="preserve">Texto del hallazgo</t>
  </si>
  <si>
    <t xml:space="preserve">Fase del hallazgo</t>
  </si>
  <si>
    <t xml:space="preserve">Detalle de hallazgos (para intervenciones)</t>
  </si>
  <si>
    <t xml:space="preserve">Versión anterior sin los que borraste. «D-» indica detalle; cada uno cuelga de un hallazgo de nivel alto.</t>
  </si>
  <si>
    <t xml:space="preserve">ID detalle</t>
  </si>
  <si>
    <t xml:space="preserve">Hallazgo (detalle)</t>
  </si>
  <si>
    <t xml:space="preserve">Nivel alto</t>
  </si>
  <si>
    <t xml:space="preserve">Hallazgo de nivel alto</t>
  </si>
  <si>
    <t xml:space="preserve">Palancas de detalle</t>
  </si>
  <si>
    <t xml:space="preserve">D-H02</t>
  </si>
  <si>
    <t xml:space="preserve">La previsión no tiene día de cierre y se cambia dentro del mes en curso</t>
  </si>
  <si>
    <t xml:space="preserve">Cambios de previsión dentro del mes en curso / mes</t>
  </si>
  <si>
    <t xml:space="preserve">D-PL02</t>
  </si>
  <si>
    <t xml:space="preserve">D-H03</t>
  </si>
  <si>
    <t xml:space="preserve">No hay consenso de demanda entre Comercial y Planificación, o hay reunión pero no decide</t>
  </si>
  <si>
    <t xml:space="preserve">€ de previsión mensual sin consensuar</t>
  </si>
  <si>
    <t xml:space="preserve">D-PL03</t>
  </si>
  <si>
    <t xml:space="preserve">D-H05</t>
  </si>
  <si>
    <t xml:space="preserve">La demanda perdida (agotados, pedidos rechazados) no se registra y el histórico sale sesgado</t>
  </si>
  <si>
    <t xml:space="preserve">Agotados o rechazos / mes sin registrar</t>
  </si>
  <si>
    <t xml:space="preserve">D-PL04</t>
  </si>
  <si>
    <t xml:space="preserve">Sin este dato, la previsión estadística (D-PL01) aprende el sesgo.</t>
  </si>
  <si>
    <t xml:space="preserve">D-H06</t>
  </si>
  <si>
    <t xml:space="preserve">No se miden precisión ni sesgo, o se miden sin umbral</t>
  </si>
  <si>
    <t xml:space="preserve">Familias sin KPI de precisión</t>
  </si>
  <si>
    <t xml:space="preserve">D-PL05</t>
  </si>
  <si>
    <t xml:space="preserve">D-H07</t>
  </si>
  <si>
    <t xml:space="preserve">Las desviaciones de previsión no llevan análisis de causa ni acción</t>
  </si>
  <si>
    <t xml:space="preserve">Desviaciones fuera de umbral sin acción / mes</t>
  </si>
  <si>
    <t xml:space="preserve">D-PL05, D-PL24</t>
  </si>
  <si>
    <t xml:space="preserve">D-H08</t>
  </si>
  <si>
    <t xml:space="preserve">El horizonte de previsión es más corto que el plazo de las decisiones que alimenta (turnos, compras de plazo largo, intercompany)</t>
  </si>
  <si>
    <t xml:space="preserve">€ de compras o turnos decididos sin previsión</t>
  </si>
  <si>
    <t xml:space="preserve">D-PL01</t>
  </si>
  <si>
    <t xml:space="preserve">D-H45</t>
  </si>
  <si>
    <t xml:space="preserve">No hay previsión: se planifica solo con la cartera, aunque haya clientes o referencias con consumo repetitivo</t>
  </si>
  <si>
    <t xml:space="preserve">€ de demanda repetitiva / mes sin previsión</t>
  </si>
  <si>
    <t xml:space="preserve">Caso de Ondupack y de MGT.</t>
  </si>
  <si>
    <t xml:space="preserve">D-H09</t>
  </si>
  <si>
    <t xml:space="preserve">No hay S&amp;OP: el desequilibrio entre demanda y capacidad no se decide con dirección y se arregla abajo, con urgencias</t>
  </si>
  <si>
    <t xml:space="preserve">Horas extra y turnos no planificados / mes</t>
  </si>
  <si>
    <t xml:space="preserve">D-PL06</t>
  </si>
  <si>
    <t xml:space="preserve">Puede solapar con D-H10 y D-H29 (mismas horas extra): cuantificar una vez.</t>
  </si>
  <si>
    <t xml:space="preserve">D-H10</t>
  </si>
  <si>
    <t xml:space="preserve">La capacidad no se planifica con datos: turnos y balanceo se deciden por intuición, sin cruzar carga con capacidad</t>
  </si>
  <si>
    <t xml:space="preserve">Horas de línea / mes</t>
  </si>
  <si>
    <t xml:space="preserve">D-PL07</t>
  </si>
  <si>
    <t xml:space="preserve">D-H12</t>
  </si>
  <si>
    <t xml:space="preserve">No hay política de stock por segmento: ABC/XYZ, MTS/MTO y stock de seguridad sin definir o sin revisar</t>
  </si>
  <si>
    <t xml:space="preserve">Materiales sin estrategia vigente</t>
  </si>
  <si>
    <t xml:space="preserve">La política la decide Planificación (P2R); el dato se guarda en R2M.</t>
  </si>
  <si>
    <t xml:space="preserve">D-H13</t>
  </si>
  <si>
    <t xml:space="preserve">Stock de producto terminado excesivo u obsoleto por fabricar contra una previsión inflada</t>
  </si>
  <si>
    <t xml:space="preserve">€ de stock sin movimiento &gt; 6 meses</t>
  </si>
  <si>
    <t xml:space="preserve">Si el stock se deprecia o se destruye, esa pérdida es Fuga de P&amp;L.</t>
  </si>
  <si>
    <t xml:space="preserve">D-H14</t>
  </si>
  <si>
    <t xml:space="preserve">Roturas en materiales contra stock: hay pedidos que no se pueden servir</t>
  </si>
  <si>
    <t xml:space="preserve">€ de pedidos no servidos / mes</t>
  </si>
  <si>
    <t xml:space="preserve">D-H15</t>
  </si>
  <si>
    <t xml:space="preserve">La fecha al cliente se promete sin comprobar stock ni capacidad</t>
  </si>
  <si>
    <t xml:space="preserve">€ de pedidos / mes confirmados con fecha no viable</t>
  </si>
  <si>
    <t xml:space="preserve">D-PL10, D-PL25</t>
  </si>
  <si>
    <t xml:space="preserve">D-H16</t>
  </si>
  <si>
    <t xml:space="preserve">Cuando se sabe que no se llega, la fecha no se renegocia con el cliente</t>
  </si>
  <si>
    <t xml:space="preserve">€ de pedidos / mes entregados tarde sin aviso</t>
  </si>
  <si>
    <t xml:space="preserve">D-PL11</t>
  </si>
  <si>
    <t xml:space="preserve">D-H18</t>
  </si>
  <si>
    <t xml:space="preserve">Cálculos repetitivos a mano: reservas de capacidad (temporales), coberturas, cargas</t>
  </si>
  <si>
    <t xml:space="preserve">Esfuerzo (ya contado dentro de personas)</t>
  </si>
  <si>
    <t xml:space="preserve">Horas / mes</t>
  </si>
  <si>
    <t xml:space="preserve">D-PL12</t>
  </si>
  <si>
    <t xml:space="preserve">Es un cálculo fijo: mejor una regla automática que un agente.</t>
  </si>
  <si>
    <t xml:space="preserve">D-H19</t>
  </si>
  <si>
    <t xml:space="preserve">Intercompany (opcional): la planta que suministra se entera por un pedido urgente, sin plan conjunto ni mín/máx</t>
  </si>
  <si>
    <t xml:space="preserve">Pedidos intercompany urgentes / mes</t>
  </si>
  <si>
    <t xml:space="preserve">D-PL06, D-PL13</t>
  </si>
  <si>
    <t xml:space="preserve">Solo para las divisiones que se suministran entre sí.</t>
  </si>
  <si>
    <t xml:space="preserve">D-H21</t>
  </si>
  <si>
    <t xml:space="preserve">Parámetros de planificación desactualizados: lote mínimo y múltiplo, plazos, stock de seguridad</t>
  </si>
  <si>
    <t xml:space="preserve">% de materiales sin revisar en 12 meses</t>
  </si>
  <si>
    <t xml:space="preserve">D-PL15</t>
  </si>
  <si>
    <t xml:space="preserve">D-H22</t>
  </si>
  <si>
    <t xml:space="preserve">El MRP corre con poca frecuencia y las faltas se detectan tarde</t>
  </si>
  <si>
    <t xml:space="preserve">Faltas / mes detectadas con menos margen que el plazo del proveedor</t>
  </si>
  <si>
    <t xml:space="preserve">D-PL16</t>
  </si>
  <si>
    <t xml:space="preserve">D-H23</t>
  </si>
  <si>
    <t xml:space="preserve">Las faltas se revisan todas a mano, sin criticidad ni gestión por excepción</t>
  </si>
  <si>
    <t xml:space="preserve">Líneas de falta revisadas / semana</t>
  </si>
  <si>
    <t xml:space="preserve">D-PL14</t>
  </si>
  <si>
    <t xml:space="preserve">D-H24</t>
  </si>
  <si>
    <t xml:space="preserve">Compras y transportes urgentes por faltas no anticipadas</t>
  </si>
  <si>
    <t xml:space="preserve">€ de sobrecoste urgente / mes</t>
  </si>
  <si>
    <t xml:space="preserve">D-H25</t>
  </si>
  <si>
    <t xml:space="preserve">Producto terminado y semielaborado se planifican por separado, sin sincronizar</t>
  </si>
  <si>
    <t xml:space="preserve">€ de stock de semielaborado</t>
  </si>
  <si>
    <t xml:space="preserve">D-PL17</t>
  </si>
  <si>
    <t xml:space="preserve">D-H26</t>
  </si>
  <si>
    <t xml:space="preserve">La agrupación de necesidades en lotes o combinaciones se hace a mano</t>
  </si>
  <si>
    <t xml:space="preserve">% de merma de combinación</t>
  </si>
  <si>
    <t xml:space="preserve">D-PL18</t>
  </si>
  <si>
    <t xml:space="preserve">D-H27</t>
  </si>
  <si>
    <t xml:space="preserve">Materias primas y auxiliares sin política de stock: se compra a ojo o por el mínimo del proveedor</t>
  </si>
  <si>
    <t xml:space="preserve">€ de materia prima sin consumo &gt; 6 meses</t>
  </si>
  <si>
    <t xml:space="preserve">D-H28</t>
  </si>
  <si>
    <t xml:space="preserve">La secuencia se hace a mano, sin optimizar los cambios (molde, formato, altura, color)</t>
  </si>
  <si>
    <t xml:space="preserve">Horas de cambio / semana</t>
  </si>
  <si>
    <t xml:space="preserve">D-PL19</t>
  </si>
  <si>
    <t xml:space="preserve">D-H29</t>
  </si>
  <si>
    <t xml:space="preserve">Se programa sin capacidad finita: se carga más de lo que cabe</t>
  </si>
  <si>
    <t xml:space="preserve">Horas cargadas por encima de la capacidad / semana</t>
  </si>
  <si>
    <t xml:space="preserve">D-H30</t>
  </si>
  <si>
    <t xml:space="preserve">El programa no tiene zona congelada y los cambios de última hora obligan a resecuenciar</t>
  </si>
  <si>
    <t xml:space="preserve">D-PL08</t>
  </si>
  <si>
    <t xml:space="preserve">D-H31</t>
  </si>
  <si>
    <t xml:space="preserve">Urgencias y prioridades sin reglas: se decide por llamada o se escala a dirección</t>
  </si>
  <si>
    <t xml:space="preserve">Escalados / semana</t>
  </si>
  <si>
    <t xml:space="preserve">D-PL20</t>
  </si>
  <si>
    <t xml:space="preserve">D-H32</t>
  </si>
  <si>
    <t xml:space="preserve">Se usa siempre la ruta por defecto, sin reequilibrar con la carga</t>
  </si>
  <si>
    <t xml:space="preserve">Horas en ruta no óptima / mes</t>
  </si>
  <si>
    <t xml:space="preserve">D-H34</t>
  </si>
  <si>
    <t xml:space="preserve">Se libera sin comprobar material en línea, utillaje, ficha y personal</t>
  </si>
  <si>
    <t xml:space="preserve">D-H35</t>
  </si>
  <si>
    <t xml:space="preserve">No hay ventana de liberación: se libera todo de golpe o en el último momento</t>
  </si>
  <si>
    <t xml:space="preserve">Días entre liberación e inicio</t>
  </si>
  <si>
    <t xml:space="preserve">D-H36</t>
  </si>
  <si>
    <t xml:space="preserve">El aprovisionamiento a línea no va sincronizado con la secuencia</t>
  </si>
  <si>
    <t xml:space="preserve">Minutos de espera de material por orden</t>
  </si>
  <si>
    <t xml:space="preserve">D-H38</t>
  </si>
  <si>
    <t xml:space="preserve">No hay KPIs formales de servicio (OTIF a fecha confirmada) ni de adherencia al programa</t>
  </si>
  <si>
    <t xml:space="preserve">Pedidos / mes sin medir</t>
  </si>
  <si>
    <t xml:space="preserve">D-PL23</t>
  </si>
  <si>
    <t xml:space="preserve">Habilitador: no suma € por sí solo. Piso «sin declarar».</t>
  </si>
  <si>
    <t xml:space="preserve">D-H39</t>
  </si>
  <si>
    <t xml:space="preserve">Los atrasos se detectan cuando ya han ocurrido, sin aviso de pedidos en riesgo</t>
  </si>
  <si>
    <t xml:space="preserve">€ de pedidos atrasados / mes</t>
  </si>
  <si>
    <t xml:space="preserve">D-PL23, D-PL25</t>
  </si>
  <si>
    <t xml:space="preserve">D-H40</t>
  </si>
  <si>
    <t xml:space="preserve">Las desviaciones del plan no tienen análisis de causa y lo aprendido no vuelve a la previsión ni a los parámetros</t>
  </si>
  <si>
    <t xml:space="preserve">Desviaciones sin causa / mes</t>
  </si>
  <si>
    <t xml:space="preserve">D-PL24</t>
  </si>
  <si>
    <t xml:space="preserve">D-H41</t>
  </si>
  <si>
    <t xml:space="preserve">Los informes de seguimiento se hacen a mano</t>
  </si>
  <si>
    <t xml:space="preserve">Horas / semana</t>
  </si>
  <si>
    <t xml:space="preserve">Detalle de palancas (para intervenciones)</t>
  </si>
  <si>
    <t xml:space="preserve">Punto de partida para traducir cada palanca en acciones, automatizaciones y agentes.</t>
  </si>
  <si>
    <t xml:space="preserve">Palanca (detalle)</t>
  </si>
  <si>
    <t xml:space="preserve">Tipo principal</t>
  </si>
  <si>
    <t xml:space="preserve">Tipo secundario</t>
  </si>
  <si>
    <t xml:space="preserve">Evoluciona a IA</t>
  </si>
  <si>
    <t xml:space="preserve">Hallazgos de detalle</t>
  </si>
  <si>
    <t xml:space="preserve">Intervención tipo (cómo)</t>
  </si>
  <si>
    <t xml:space="preserve">Palanca de nivel alto</t>
  </si>
  <si>
    <t xml:space="preserve">Previsión estadística por familia y material, a 12–18 meses</t>
  </si>
  <si>
    <t xml:space="preserve">Auto</t>
  </si>
  <si>
    <t xml:space="preserve">Sí</t>
  </si>
  <si>
    <t xml:space="preserve">D-H08, D-H45</t>
  </si>
  <si>
    <t xml:space="preserve">Precisión (1–WMAPE)</t>
  </si>
  <si>
    <t xml:space="preserve">Modelo por familia y material con histórico limpio (incluida la demanda perdida) y estacionalidad; Comercial solo revisa las excepciones antes del cierre.</t>
  </si>
  <si>
    <t xml:space="preserve">Calendario de demanda con día de cierre y mes en curso congelado</t>
  </si>
  <si>
    <t xml:space="preserve">Política</t>
  </si>
  <si>
    <t xml:space="preserve">No</t>
  </si>
  <si>
    <t xml:space="preserve">Cambios tras el cierre</t>
  </si>
  <si>
    <t xml:space="preserve">Publicar el calendario anual con el día de cierre y bloquear en el sistema la previsión del mes en curso; los cambios posteriores, solo con aprobación y motivo.</t>
  </si>
  <si>
    <t xml:space="preserve">Revisión mensual de demanda con consenso</t>
  </si>
  <si>
    <t xml:space="preserve">Consenso en fecha</t>
  </si>
  <si>
    <t xml:space="preserve">Reunión mensual Comercial–Planificación con orden del día fijo, acta y decisiones.</t>
  </si>
  <si>
    <t xml:space="preserve">Registro de la demanda perdida con su motivo</t>
  </si>
  <si>
    <t xml:space="preserve">Dato</t>
  </si>
  <si>
    <t xml:space="preserve">% de agotados registrados</t>
  </si>
  <si>
    <t xml:space="preserve">Definir qué es un agotado o un rechazo y registrarlo a diario en el sistema, con su motivo.</t>
  </si>
  <si>
    <t xml:space="preserve">KPI de precisión y sesgo por familia, con umbral y plan de acción</t>
  </si>
  <si>
    <t xml:space="preserve">D-H06, D-H07</t>
  </si>
  <si>
    <t xml:space="preserve">Familias fuera de umbral con acción</t>
  </si>
  <si>
    <t xml:space="preserve">Cálculo automático mensual por familia, umbral por segmento y plan de acción para cada familia fuera de umbral.</t>
  </si>
  <si>
    <t xml:space="preserve">S&amp;OP mensual con escenarios valorados en € y reunión ejecutiva</t>
  </si>
  <si>
    <t xml:space="preserve">D-H09, D-H19</t>
  </si>
  <si>
    <t xml:space="preserve">Horas extra no planificadas · cumplimiento del plan</t>
  </si>
  <si>
    <t xml:space="preserve">Ciclo mensual: revisión de demanda, revisión de suministro y reunión ejecutiva; cada escenario (turnos, stock, subcontratación, intercompany) valorado en €.</t>
  </si>
  <si>
    <t xml:space="preserve">Plan de capacidad: carga frente a capacidad por línea, con regla de turnos</t>
  </si>
  <si>
    <t xml:space="preserve">Ocupación real frente a la planificada</t>
  </si>
  <si>
    <t xml:space="preserve">Cruce automático de previsión cerrada × rutas × tiempos de ciclo contra el calendario; umbrales de ocupación para abrir o cerrar turnos.</t>
  </si>
  <si>
    <t xml:space="preserve">Zona congelada en el programa</t>
  </si>
  <si>
    <t xml:space="preserve">Cambios en zona congelada</t>
  </si>
  <si>
    <t xml:space="preserve">Definir el horizonte congelado del programa; las excepciones se aprueban y quedan registradas.</t>
  </si>
  <si>
    <t xml:space="preserve">Segmentación ABC/XYZ y política de stock por segmento, revisada cada trimestre</t>
  </si>
  <si>
    <t xml:space="preserve">D-H12, D-H13, D-H14, D-H27</t>
  </si>
  <si>
    <t xml:space="preserve">Cobertura · roturas · stock obsoleto</t>
  </si>
  <si>
    <t xml:space="preserve">Criterios ABC por valor y XYZ por variabilidad, matriz que asigna MTS/MTO y stock de seguridad, y recálculo trimestral automático.</t>
  </si>
  <si>
    <t xml:space="preserve">D-PL10</t>
  </si>
  <si>
    <t xml:space="preserve">Promesa de fecha con disponibilidad real: stock y capacidad libre (ATP/CTP)</t>
  </si>
  <si>
    <t xml:space="preserve">% de pedidos confirmados con fecha viable</t>
  </si>
  <si>
    <t xml:space="preserve">Consulta de disponibilidad (stock y capacidad libre) al confirmar el pedido: la fecha la propone el sistema, no se teclea.</t>
  </si>
  <si>
    <t xml:space="preserve">Política de fecha: dos fechas en el pedido, plazo de confirmación y aviso al cliente</t>
  </si>
  <si>
    <t xml:space="preserve">Fecha solicitada y fecha confirmada en cada pedido; plazo fijo de confirmación y aviso al cliente si no se llega.</t>
  </si>
  <si>
    <t xml:space="preserve">Automatizar cálculos e informes repetitivos</t>
  </si>
  <si>
    <t xml:space="preserve">D-H18, D-H41</t>
  </si>
  <si>
    <t xml:space="preserve">Horas liberadas</t>
  </si>
  <si>
    <t xml:space="preserve">Pasar a reglas del sistema los cálculos e informes que hoy se hacen en Excel cada día, semana o mes.</t>
  </si>
  <si>
    <t xml:space="preserve">Los informes de seguimiento (D-H41) van con la palanca de nivel alto PL08.</t>
  </si>
  <si>
    <t xml:space="preserve">D-PL13</t>
  </si>
  <si>
    <t xml:space="preserve">Plan intercompany con mín/máx y pedidos programados</t>
  </si>
  <si>
    <t xml:space="preserve">Pedidos intercompany urgentes</t>
  </si>
  <si>
    <t xml:space="preserve">Mín/máx por material entre plantas, pedidos programados y revisión semanal conjunta.</t>
  </si>
  <si>
    <t xml:space="preserve">Necesidades por excepción: alertas por criticidad</t>
  </si>
  <si>
    <t xml:space="preserve">Líneas de falta revisadas</t>
  </si>
  <si>
    <t xml:space="preserve">El sistema marca solo las excepciones, ordenadas por criticidad.</t>
  </si>
  <si>
    <t xml:space="preserve">Revisión periódica de los parámetros de planificación contra la realidad</t>
  </si>
  <si>
    <t xml:space="preserve">% de parámetros vigentes</t>
  </si>
  <si>
    <t xml:space="preserve">Revisión semestral de lotes, plazos y stock de seguridad contra los datos reales, con un responsable por parámetro.</t>
  </si>
  <si>
    <t xml:space="preserve">MRP diario con alertas tempranas de faltas</t>
  </si>
  <si>
    <t xml:space="preserve">D-H22, D-H24</t>
  </si>
  <si>
    <t xml:space="preserve">Faltas detectadas a tiempo · € urgentes</t>
  </si>
  <si>
    <t xml:space="preserve">MRP diario (nocturno) con alerta de faltas priorizada por fecha de necesidad y por pedido de cliente.</t>
  </si>
  <si>
    <t xml:space="preserve">Planificación multinivel sincronizada: producto terminado, semielaborado y materias primas</t>
  </si>
  <si>
    <t xml:space="preserve">Sistema</t>
  </si>
  <si>
    <t xml:space="preserve">Stock de semielaborado</t>
  </si>
  <si>
    <t xml:space="preserve">Planificar los tres niveles en el mismo cálculo, con trazabilidad de cada necesidad hasta su origen.</t>
  </si>
  <si>
    <t xml:space="preserve">Optimizador de agrupación y combinación</t>
  </si>
  <si>
    <t xml:space="preserve">Algoritmo</t>
  </si>
  <si>
    <t xml:space="preserve">% de merma</t>
  </si>
  <si>
    <t xml:space="preserve">Algoritmo de agrupación por reglas de lote y combinación que minimiza la merma y los cambios.</t>
  </si>
  <si>
    <t xml:space="preserve">Secuenciador con capacidad finita, matriz de cambios y rutas alternativas</t>
  </si>
  <si>
    <t xml:space="preserve">D-H28, D-H29, D-H32</t>
  </si>
  <si>
    <t xml:space="preserve">Horas de cambio · adherencia</t>
  </si>
  <si>
    <t xml:space="preserve">Matriz de tiempos de cambio por línea y capacidad finita; propone la secuencia y las rutas alternativas, y el programador la aprueba.</t>
  </si>
  <si>
    <t xml:space="preserve">Reglas de prioridad y de escalado</t>
  </si>
  <si>
    <t xml:space="preserve">Criterios escritos (cliente, fecha, margen, penalización) y un árbitro definido para los conflictos.</t>
  </si>
  <si>
    <t xml:space="preserve">Semáforo de liberación 24–72 h antes, con ventana de liberación</t>
  </si>
  <si>
    <t xml:space="preserve">D-H34, D-H35, D-H36</t>
  </si>
  <si>
    <t xml:space="preserve">Comprobación automática de material en línea, utillaje y personal; la orden se libera en verde y dentro de su ventana.</t>
  </si>
  <si>
    <t xml:space="preserve">Cuadro de mando de servicio y adherencia, con alertas de pedidos en riesgo</t>
  </si>
  <si>
    <t xml:space="preserve">D-H38, D-H39</t>
  </si>
  <si>
    <t xml:space="preserve">OTIF · avisos anticipados</t>
  </si>
  <si>
    <t xml:space="preserve">OTIF a fecha confirmada y adherencia al programa calculados solos, con alerta de los pedidos en riesgo antes de que se retrasen.</t>
  </si>
  <si>
    <t xml:space="preserve">Análisis de causa raíz de las desviaciones, que vuelve a la previsión y a los parámetros</t>
  </si>
  <si>
    <t xml:space="preserve">D-H07, D-H40</t>
  </si>
  <si>
    <t xml:space="preserve">Desviaciones con causa</t>
  </si>
  <si>
    <t xml:space="preserve">Clasificar cada desviación por causa (lista cerrada), asignar una acción con responsable y devolver lo aprendido a la previsión y a los parámetros.</t>
  </si>
  <si>
    <t xml:space="preserve">D-PL25</t>
  </si>
  <si>
    <t xml:space="preserve">Copiloto de consulta: «¿cuándo sirvo X?», «¿por qué va tarde X?»</t>
  </si>
  <si>
    <t xml:space="preserve">Consulta</t>
  </si>
  <si>
    <t xml:space="preserve">D-H15, D-H39</t>
  </si>
  <si>
    <t xml:space="preserve">Consultas resueltas sin llamada</t>
  </si>
  <si>
    <t xml:space="preserve">Asistente que responde sobre plazos y estado de pedidos con los datos del sistema, sin modificar nada.</t>
  </si>
  <si>
    <t xml:space="preserve">«¿Por qué va tarde X?» también sirve a la palanca de nivel alto PL08.</t>
  </si>
  <si>
    <t xml:space="preserve">Detectados en P2R, pero van al maestro de otro proceso</t>
  </si>
  <si>
    <t xml:space="preserve">Créalos en el proceso destino con «Detectado en: P2R»: el coste suma donde se arregla.</t>
  </si>
  <si>
    <t xml:space="preserve">Proceso destino</t>
  </si>
  <si>
    <t xml:space="preserve">Detectado en</t>
  </si>
  <si>
    <t xml:space="preserve">Palanca en ese proceso</t>
  </si>
  <si>
    <t xml:space="preserve">X01</t>
  </si>
  <si>
    <t xml:space="preserve">R2M</t>
  </si>
  <si>
    <t xml:space="preserve">El alta de material no pasa por Planificación (estrategia, ruta, parámetros)</t>
  </si>
  <si>
    <t xml:space="preserve">Altas / mes sin validar por Planificación</t>
  </si>
  <si>
    <t xml:space="preserve">Validación de Planificación en el alta de material</t>
  </si>
  <si>
    <t xml:space="preserve">X02</t>
  </si>
  <si>
    <t xml:space="preserve">Duplicados en el maestro, sin criterio de qué es un material</t>
  </si>
  <si>
    <t xml:space="preserve">Materiales duplicados</t>
  </si>
  <si>
    <t xml:space="preserve">Criterio de material y auditoría de duplicados</t>
  </si>
  <si>
    <t xml:space="preserve">X03</t>
  </si>
  <si>
    <t xml:space="preserve">El calendario de turnos y paradas, las velocidades y los tiempos de cambio no coinciden con la realidad</t>
  </si>
  <si>
    <t xml:space="preserve">% de recursos con datos sin revisar</t>
  </si>
  <si>
    <t xml:space="preserve">Maestro de recursos de fabricación mantenido</t>
  </si>
  <si>
    <t xml:space="preserve">X04</t>
  </si>
  <si>
    <t xml:space="preserve">P2P</t>
  </si>
  <si>
    <t xml:space="preserve">Plazos de proveedor desactualizados y confirmaciones sin registrar</t>
  </si>
  <si>
    <t xml:space="preserve">% de líneas con fecha confirmada distinta de la prevista</t>
  </si>
  <si>
    <t xml:space="preserve">Seguimiento de confirmaciones de proveedor</t>
  </si>
  <si>
    <t xml:space="preserve">X05</t>
  </si>
  <si>
    <t xml:space="preserve">O2C</t>
  </si>
  <si>
    <t xml:space="preserve">Cartera con errores (cantidades mayores que el pedido, fechas imposibles) y pedidos servidos sin saldar</t>
  </si>
  <si>
    <t xml:space="preserve">Líneas de cartera erróneas o servidas sin saldar</t>
  </si>
  <si>
    <t xml:space="preserve">Validación de cargas y saldado por regla</t>
  </si>
  <si>
    <t xml:space="preserve">Ondupet · dónde cae lo que ya está creado</t>
  </si>
  <si>
    <t xml:space="preserve">Para re-vincular los hallazgos y palancas creados directamente en la celda P2R × Ondupet.</t>
  </si>
  <si>
    <t xml:space="preserve">Nº</t>
  </si>
  <si>
    <t xml:space="preserve">Hallazgo creado</t>
  </si>
  <si>
    <t xml:space="preserve">Detalle</t>
  </si>
  <si>
    <t xml:space="preserve">Nota</t>
  </si>
  <si>
    <t xml:space="preserve">Sin cierre de previsiones: se modifica a mitad de mes</t>
  </si>
  <si>
    <t xml:space="preserve">No se hace carga de capacidad (se decide por sensaciones)</t>
  </si>
  <si>
    <t xml:space="preserve">2 y 4 caen en el mismo hallazgo de nivel alto.</t>
  </si>
  <si>
    <t xml:space="preserve">No se calculan ABC ni estrategias</t>
  </si>
  <si>
    <t xml:space="preserve">Temporales calculados a mano cada mes</t>
  </si>
  <si>
    <t xml:space="preserve">No se modifican las fechas al cliente aunque se sepa que no se llega</t>
  </si>
  <si>
    <t xml:space="preserve">Familia: Oportunidad (ingreso expuesto).</t>
  </si>
  <si>
    <t xml:space="preserve">Saldado de pedidos manual; a veces no se hace</t>
  </si>
  <si>
    <t xml:space="preserve">Va a O2C × Ondupet con «Detectado en: P2R».</t>
  </si>
  <si>
    <t xml:space="preserve">Corrección manual de desviaciones de demanda</t>
  </si>
  <si>
    <t xml:space="preserve">A confirmar: su detalle (antiguo H20) lo borraste; lo más cercano es H01.</t>
  </si>
  <si>
    <t xml:space="preserve">Revisión de faltas manual</t>
  </si>
  <si>
    <t xml:space="preserve">Secuenciación a mano</t>
  </si>
  <si>
    <t xml:space="preserve">Palanca creada</t>
  </si>
  <si>
    <t xml:space="preserve">P1</t>
  </si>
  <si>
    <t xml:space="preserve">Previsión cerrada y congelada</t>
  </si>
  <si>
    <t xml:space="preserve">D-PL02, D-PL05</t>
  </si>
  <si>
    <t xml:space="preserve">P2</t>
  </si>
  <si>
    <t xml:space="preserve">Capacidad decidida con datos</t>
  </si>
  <si>
    <t xml:space="preserve">D-PL07, D-PL12</t>
  </si>
  <si>
    <t xml:space="preserve">P3</t>
  </si>
  <si>
    <t xml:space="preserve">Segmentación y estrategias al día</t>
  </si>
  <si>
    <t xml:space="preserve">P4</t>
  </si>
  <si>
    <t xml:space="preserve">Fecha comprometida viable</t>
  </si>
  <si>
    <t xml:space="preserve">D-PL11, D-PL10</t>
  </si>
  <si>
    <t xml:space="preserve">P5</t>
  </si>
  <si>
    <t xml:space="preserve">Saldado por regla</t>
  </si>
  <si>
    <t xml:space="preserve">P6</t>
  </si>
  <si>
    <t xml:space="preserve">Necesidades y faltas por excepción</t>
  </si>
  <si>
    <t xml:space="preserve">D-PL14, D-PL16</t>
  </si>
  <si>
    <t xml:space="preserve">P7</t>
  </si>
  <si>
    <t xml:space="preserve">Secuencia optimizada</t>
  </si>
  <si>
    <t xml:space="preserve">D-PL19, D-PL08, D-PL20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</si>
</sst>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63A"/>
      <name val="Arial"/>
      <family val="0"/>
      <charset val="1"/>
    </font>
    <font>
      <i val="true"/>
      <sz val="9"/>
      <color rgb="FF5B6B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263A"/>
      <name val="Arial"/>
      <family val="0"/>
      <charset val="1"/>
    </font>
    <font>
      <b val="true"/>
      <sz val="12"/>
      <color rgb="FF00263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263A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FE5"/>
      </left>
      <right style="thin">
        <color rgb="FFD7DFE5"/>
      </right>
      <top style="thin">
        <color rgb="FFD7DFE5"/>
      </top>
      <bottom style="thin">
        <color rgb="FFD7DF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263A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1D6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D6"/>
      <rgbColor rgb="FFCCFFFF"/>
      <rgbColor rgb="FF660066"/>
      <rgbColor rgb="FFFF8080"/>
      <rgbColor rgb="FF0066CC"/>
      <rgbColor rgb="FFD7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00263A"/>
      <rgbColor rgb="FF339966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60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32"/>
    <col collapsed="false" customWidth="true" hidden="false" outlineLevel="0" max="10" min="10" style="0" width="13"/>
    <col collapsed="false" customWidth="true" hidden="false" outlineLevel="0" max="12" min="11" style="0" width="10"/>
    <col collapsed="false" customWidth="true" hidden="false" outlineLevel="0" max="13" min="13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35.05" hidden="false" customHeight="false" outlineLevel="0" collapsed="false">
      <c r="A5" s="4" t="s">
        <v>15</v>
      </c>
      <c r="B5" s="4" t="s">
        <v>16</v>
      </c>
      <c r="C5" s="4" t="n">
        <v>1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4" t="s">
        <v>23</v>
      </c>
      <c r="K5" s="6" t="n">
        <f aca="false">COUNTIF(Relación!$C$5:$C$16,A5)</f>
        <v>1</v>
      </c>
      <c r="L5" s="4" t="n">
        <f aca="false">COUNTIF('Detalle hallazgos'!$G$5:$G$39,A5)</f>
        <v>7</v>
      </c>
      <c r="M5" s="5" t="s">
        <v>24</v>
      </c>
    </row>
    <row r="6" customFormat="false" ht="23.85" hidden="false" customHeight="false" outlineLevel="0" collapsed="false">
      <c r="A6" s="4" t="s">
        <v>25</v>
      </c>
      <c r="B6" s="4" t="s">
        <v>16</v>
      </c>
      <c r="C6" s="4" t="n">
        <v>2</v>
      </c>
      <c r="D6" s="5" t="s">
        <v>26</v>
      </c>
      <c r="E6" s="5" t="s">
        <v>27</v>
      </c>
      <c r="F6" s="5" t="s">
        <v>28</v>
      </c>
      <c r="G6" s="5" t="s">
        <v>20</v>
      </c>
      <c r="H6" s="5" t="s">
        <v>29</v>
      </c>
      <c r="I6" s="5" t="s">
        <v>30</v>
      </c>
      <c r="J6" s="4" t="s">
        <v>31</v>
      </c>
      <c r="K6" s="6" t="n">
        <f aca="false">COUNTIF(Relación!$C$5:$C$16,A6)</f>
        <v>1</v>
      </c>
      <c r="L6" s="4" t="n">
        <f aca="false">COUNTIF('Detalle hallazgos'!$G$5:$G$39,A6)</f>
        <v>4</v>
      </c>
      <c r="M6" s="5" t="s">
        <v>32</v>
      </c>
    </row>
    <row r="7" customFormat="false" ht="23.85" hidden="false" customHeight="false" outlineLevel="0" collapsed="false">
      <c r="A7" s="4" t="s">
        <v>33</v>
      </c>
      <c r="B7" s="4" t="s">
        <v>16</v>
      </c>
      <c r="C7" s="4" t="n">
        <v>2</v>
      </c>
      <c r="D7" s="5" t="s">
        <v>26</v>
      </c>
      <c r="E7" s="5" t="s">
        <v>34</v>
      </c>
      <c r="F7" s="5" t="s">
        <v>35</v>
      </c>
      <c r="G7" s="5" t="s">
        <v>20</v>
      </c>
      <c r="H7" s="5" t="s">
        <v>21</v>
      </c>
      <c r="I7" s="5" t="s">
        <v>36</v>
      </c>
      <c r="J7" s="4" t="s">
        <v>37</v>
      </c>
      <c r="K7" s="6" t="n">
        <f aca="false">COUNTIF(Relación!$C$5:$C$16,A7)</f>
        <v>1</v>
      </c>
      <c r="L7" s="4" t="n">
        <f aca="false">COUNTIF('Detalle hallazgos'!$G$5:$G$39,A7)</f>
        <v>3</v>
      </c>
      <c r="M7" s="5" t="s">
        <v>38</v>
      </c>
    </row>
    <row r="8" customFormat="false" ht="23.85" hidden="false" customHeight="false" outlineLevel="0" collapsed="false">
      <c r="A8" s="4" t="s">
        <v>39</v>
      </c>
      <c r="B8" s="4" t="s">
        <v>16</v>
      </c>
      <c r="C8" s="4" t="n">
        <v>2</v>
      </c>
      <c r="D8" s="5" t="s">
        <v>26</v>
      </c>
      <c r="E8" s="5" t="s">
        <v>40</v>
      </c>
      <c r="F8" s="5" t="s">
        <v>41</v>
      </c>
      <c r="G8" s="5" t="s">
        <v>42</v>
      </c>
      <c r="H8" s="5" t="s">
        <v>43</v>
      </c>
      <c r="I8" s="5" t="s">
        <v>44</v>
      </c>
      <c r="J8" s="4" t="s">
        <v>45</v>
      </c>
      <c r="K8" s="6" t="n">
        <f aca="false">COUNTIF(Relación!$C$5:$C$16,A8)</f>
        <v>2</v>
      </c>
      <c r="L8" s="4" t="n">
        <f aca="false">COUNTIF('Detalle hallazgos'!$G$5:$G$39,A8)</f>
        <v>3</v>
      </c>
      <c r="M8" s="5" t="s">
        <v>46</v>
      </c>
    </row>
    <row r="9" customFormat="false" ht="23.85" hidden="false" customHeight="false" outlineLevel="0" collapsed="false">
      <c r="A9" s="4" t="s">
        <v>47</v>
      </c>
      <c r="B9" s="4" t="s">
        <v>16</v>
      </c>
      <c r="C9" s="4" t="n">
        <v>3</v>
      </c>
      <c r="D9" s="5" t="s">
        <v>48</v>
      </c>
      <c r="E9" s="5" t="s">
        <v>49</v>
      </c>
      <c r="F9" s="5" t="s">
        <v>50</v>
      </c>
      <c r="G9" s="5" t="s">
        <v>20</v>
      </c>
      <c r="H9" s="5" t="s">
        <v>51</v>
      </c>
      <c r="I9" s="5" t="s">
        <v>52</v>
      </c>
      <c r="J9" s="4" t="s">
        <v>53</v>
      </c>
      <c r="K9" s="6" t="n">
        <f aca="false">COUNTIF(Relación!$C$5:$C$16,A9)</f>
        <v>1</v>
      </c>
      <c r="L9" s="4" t="n">
        <f aca="false">COUNTIF('Detalle hallazgos'!$G$5:$G$39,A9)</f>
        <v>3</v>
      </c>
      <c r="M9" s="5"/>
    </row>
    <row r="10" customFormat="false" ht="23.85" hidden="false" customHeight="false" outlineLevel="0" collapsed="false">
      <c r="A10" s="4" t="s">
        <v>54</v>
      </c>
      <c r="B10" s="4" t="s">
        <v>16</v>
      </c>
      <c r="C10" s="4" t="n">
        <v>3</v>
      </c>
      <c r="D10" s="5" t="s">
        <v>48</v>
      </c>
      <c r="E10" s="5" t="s">
        <v>55</v>
      </c>
      <c r="F10" s="5" t="s">
        <v>56</v>
      </c>
      <c r="G10" s="5" t="s">
        <v>20</v>
      </c>
      <c r="H10" s="5" t="s">
        <v>21</v>
      </c>
      <c r="I10" s="5" t="s">
        <v>57</v>
      </c>
      <c r="J10" s="4" t="s">
        <v>53</v>
      </c>
      <c r="K10" s="6" t="n">
        <f aca="false">COUNTIF(Relación!$C$5:$C$16,A10)</f>
        <v>1</v>
      </c>
      <c r="L10" s="4" t="n">
        <f aca="false">COUNTIF('Detalle hallazgos'!$G$5:$G$39,A10)</f>
        <v>3</v>
      </c>
      <c r="M10" s="5"/>
    </row>
    <row r="11" customFormat="false" ht="23.85" hidden="false" customHeight="false" outlineLevel="0" collapsed="false">
      <c r="A11" s="4" t="s">
        <v>58</v>
      </c>
      <c r="B11" s="4" t="s">
        <v>16</v>
      </c>
      <c r="C11" s="4" t="n">
        <v>4</v>
      </c>
      <c r="D11" s="5" t="s">
        <v>59</v>
      </c>
      <c r="E11" s="5" t="s">
        <v>60</v>
      </c>
      <c r="F11" s="5" t="s">
        <v>61</v>
      </c>
      <c r="G11" s="5" t="s">
        <v>20</v>
      </c>
      <c r="H11" s="5" t="s">
        <v>29</v>
      </c>
      <c r="I11" s="5" t="s">
        <v>62</v>
      </c>
      <c r="J11" s="4" t="s">
        <v>63</v>
      </c>
      <c r="K11" s="6" t="n">
        <f aca="false">COUNTIF(Relación!$C$5:$C$16,A11)</f>
        <v>1</v>
      </c>
      <c r="L11" s="4" t="n">
        <f aca="false">COUNTIF('Detalle hallazgos'!$G$5:$G$39,A11)</f>
        <v>3</v>
      </c>
      <c r="M11" s="5"/>
    </row>
    <row r="12" customFormat="false" ht="23.85" hidden="false" customHeight="false" outlineLevel="0" collapsed="false">
      <c r="A12" s="4" t="s">
        <v>64</v>
      </c>
      <c r="B12" s="4" t="s">
        <v>16</v>
      </c>
      <c r="C12" s="4" t="n">
        <v>4</v>
      </c>
      <c r="D12" s="5" t="s">
        <v>59</v>
      </c>
      <c r="E12" s="5" t="s">
        <v>65</v>
      </c>
      <c r="F12" s="5" t="s">
        <v>66</v>
      </c>
      <c r="G12" s="5" t="s">
        <v>20</v>
      </c>
      <c r="H12" s="5" t="s">
        <v>29</v>
      </c>
      <c r="I12" s="5" t="s">
        <v>67</v>
      </c>
      <c r="J12" s="4" t="s">
        <v>63</v>
      </c>
      <c r="K12" s="6" t="n">
        <f aca="false">COUNTIF(Relación!$C$5:$C$16,A12)</f>
        <v>1</v>
      </c>
      <c r="L12" s="4" t="n">
        <f aca="false">COUNTIF('Detalle hallazgos'!$G$5:$G$39,A12)</f>
        <v>2</v>
      </c>
      <c r="M12" s="5"/>
    </row>
    <row r="13" customFormat="false" ht="23.85" hidden="false" customHeight="false" outlineLevel="0" collapsed="false">
      <c r="A13" s="4" t="s">
        <v>68</v>
      </c>
      <c r="B13" s="4" t="s">
        <v>16</v>
      </c>
      <c r="C13" s="4" t="n">
        <v>5</v>
      </c>
      <c r="D13" s="5" t="s">
        <v>69</v>
      </c>
      <c r="E13" s="5" t="s">
        <v>70</v>
      </c>
      <c r="F13" s="5" t="s">
        <v>71</v>
      </c>
      <c r="G13" s="5" t="s">
        <v>20</v>
      </c>
      <c r="H13" s="5" t="s">
        <v>29</v>
      </c>
      <c r="I13" s="5" t="s">
        <v>72</v>
      </c>
      <c r="J13" s="4" t="s">
        <v>73</v>
      </c>
      <c r="K13" s="6" t="n">
        <f aca="false">COUNTIF(Relación!$C$5:$C$16,A13)</f>
        <v>1</v>
      </c>
      <c r="L13" s="4" t="n">
        <f aca="false">COUNTIF('Detalle hallazgos'!$G$5:$G$39,A13)</f>
        <v>3</v>
      </c>
      <c r="M13" s="5"/>
    </row>
    <row r="14" customFormat="false" ht="23.85" hidden="false" customHeight="false" outlineLevel="0" collapsed="false">
      <c r="A14" s="4" t="s">
        <v>74</v>
      </c>
      <c r="B14" s="4" t="s">
        <v>16</v>
      </c>
      <c r="C14" s="4" t="n">
        <v>6</v>
      </c>
      <c r="D14" s="5" t="s">
        <v>75</v>
      </c>
      <c r="E14" s="5" t="s">
        <v>76</v>
      </c>
      <c r="F14" s="5" t="s">
        <v>77</v>
      </c>
      <c r="G14" s="5" t="s">
        <v>42</v>
      </c>
      <c r="H14" s="5" t="s">
        <v>43</v>
      </c>
      <c r="I14" s="5" t="s">
        <v>78</v>
      </c>
      <c r="J14" s="4" t="s">
        <v>79</v>
      </c>
      <c r="K14" s="6" t="n">
        <f aca="false">COUNTIF(Relación!$C$5:$C$16,A14)</f>
        <v>1</v>
      </c>
      <c r="L14" s="4" t="n">
        <f aca="false">COUNTIF('Detalle hallazgos'!$G$5:$G$39,A14)</f>
        <v>2</v>
      </c>
      <c r="M14" s="5" t="s">
        <v>80</v>
      </c>
    </row>
    <row r="15" customFormat="false" ht="23.85" hidden="false" customHeight="false" outlineLevel="0" collapsed="false">
      <c r="A15" s="4" t="s">
        <v>81</v>
      </c>
      <c r="B15" s="4" t="s">
        <v>16</v>
      </c>
      <c r="C15" s="4" t="n">
        <v>6</v>
      </c>
      <c r="D15" s="5" t="s">
        <v>75</v>
      </c>
      <c r="E15" s="5" t="s">
        <v>82</v>
      </c>
      <c r="F15" s="5" t="s">
        <v>83</v>
      </c>
      <c r="G15" s="5" t="s">
        <v>20</v>
      </c>
      <c r="H15" s="5" t="s">
        <v>29</v>
      </c>
      <c r="I15" s="5" t="s">
        <v>84</v>
      </c>
      <c r="J15" s="4" t="s">
        <v>79</v>
      </c>
      <c r="K15" s="6" t="n">
        <f aca="false">COUNTIF(Relación!$C$5:$C$16,A15)</f>
        <v>1</v>
      </c>
      <c r="L15" s="4" t="n">
        <f aca="false">COUNTIF('Detalle hallazgos'!$G$5:$G$39,A15)</f>
        <v>2</v>
      </c>
      <c r="M15" s="5"/>
    </row>
  </sheetData>
  <autoFilter ref="A4:M15"/>
  <conditionalFormatting sqref="A5:M15">
    <cfRule type="expression" priority="2" aboveAverage="0" equalAverage="0" bottom="0" percent="0" rank="0" text="" dxfId="4">
      <formula>$G5="Oportunidad (ingreso expuesto)"</formula>
    </cfRule>
  </conditionalFormatting>
  <conditionalFormatting sqref="K5:K15">
    <cfRule type="expression" priority="3" aboveAverage="0" equalAverage="0" bottom="0" percent="0" rank="0" text="" dxfId="5">
      <formula>$K5=0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66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13</v>
      </c>
    </row>
    <row r="5" customFormat="false" ht="23.85" hidden="false" customHeight="false" outlineLevel="0" collapsed="false">
      <c r="A5" s="4" t="s">
        <v>23</v>
      </c>
      <c r="B5" s="4" t="s">
        <v>16</v>
      </c>
      <c r="C5" s="5" t="s">
        <v>93</v>
      </c>
      <c r="D5" s="5" t="s">
        <v>94</v>
      </c>
      <c r="E5" s="4" t="s">
        <v>15</v>
      </c>
      <c r="F5" s="4" t="n">
        <f aca="false">COUNTIF(Relación!$A$5:$A$16,A5)</f>
        <v>1</v>
      </c>
      <c r="G5" s="5" t="s">
        <v>95</v>
      </c>
      <c r="H5" s="5" t="s">
        <v>96</v>
      </c>
      <c r="I5" s="4" t="n">
        <f aca="false">COUNTIF('Detalle palancas'!$I$5:$I$28,A5)</f>
        <v>5</v>
      </c>
    </row>
    <row r="6" customFormat="false" ht="23.85" hidden="false" customHeight="false" outlineLevel="0" collapsed="false">
      <c r="A6" s="4" t="s">
        <v>31</v>
      </c>
      <c r="B6" s="4" t="s">
        <v>16</v>
      </c>
      <c r="C6" s="5" t="s">
        <v>97</v>
      </c>
      <c r="D6" s="5" t="s">
        <v>98</v>
      </c>
      <c r="E6" s="4" t="s">
        <v>25</v>
      </c>
      <c r="F6" s="4" t="n">
        <f aca="false">COUNTIF(Relación!$A$5:$A$16,A6)</f>
        <v>1</v>
      </c>
      <c r="G6" s="5" t="s">
        <v>99</v>
      </c>
      <c r="H6" s="5" t="s">
        <v>100</v>
      </c>
      <c r="I6" s="4" t="n">
        <f aca="false">COUNTIF('Detalle palancas'!$I$5:$I$28,A6)</f>
        <v>4</v>
      </c>
    </row>
    <row r="7" customFormat="false" ht="23.85" hidden="false" customHeight="false" outlineLevel="0" collapsed="false">
      <c r="A7" s="4" t="s">
        <v>37</v>
      </c>
      <c r="B7" s="4" t="s">
        <v>16</v>
      </c>
      <c r="C7" s="5" t="s">
        <v>101</v>
      </c>
      <c r="D7" s="5" t="s">
        <v>102</v>
      </c>
      <c r="E7" s="4" t="s">
        <v>103</v>
      </c>
      <c r="F7" s="4" t="n">
        <f aca="false">COUNTIF(Relación!$A$5:$A$16,A7)</f>
        <v>2</v>
      </c>
      <c r="G7" s="5" t="s">
        <v>104</v>
      </c>
      <c r="H7" s="5" t="s">
        <v>105</v>
      </c>
      <c r="I7" s="4" t="n">
        <f aca="false">COUNTIF('Detalle palancas'!$I$5:$I$28,A7)</f>
        <v>1</v>
      </c>
    </row>
    <row r="8" customFormat="false" ht="23.85" hidden="false" customHeight="false" outlineLevel="0" collapsed="false">
      <c r="A8" s="4" t="s">
        <v>106</v>
      </c>
      <c r="B8" s="4" t="s">
        <v>16</v>
      </c>
      <c r="C8" s="5" t="s">
        <v>107</v>
      </c>
      <c r="D8" s="5" t="s">
        <v>108</v>
      </c>
      <c r="E8" s="4" t="s">
        <v>39</v>
      </c>
      <c r="F8" s="4" t="n">
        <f aca="false">COUNTIF(Relación!$A$5:$A$16,A8)</f>
        <v>1</v>
      </c>
      <c r="G8" s="5" t="s">
        <v>109</v>
      </c>
      <c r="H8" s="5" t="s">
        <v>110</v>
      </c>
      <c r="I8" s="4" t="n">
        <f aca="false">COUNTIF('Detalle palancas'!$I$5:$I$28,A8)</f>
        <v>3</v>
      </c>
    </row>
    <row r="9" customFormat="false" ht="23.85" hidden="false" customHeight="false" outlineLevel="0" collapsed="false">
      <c r="A9" s="4" t="s">
        <v>53</v>
      </c>
      <c r="B9" s="4" t="s">
        <v>16</v>
      </c>
      <c r="C9" s="5" t="s">
        <v>111</v>
      </c>
      <c r="D9" s="5" t="s">
        <v>112</v>
      </c>
      <c r="E9" s="4" t="s">
        <v>113</v>
      </c>
      <c r="F9" s="4" t="n">
        <f aca="false">COUNTIF(Relación!$A$5:$A$16,A9)</f>
        <v>2</v>
      </c>
      <c r="G9" s="5" t="s">
        <v>114</v>
      </c>
      <c r="H9" s="5" t="s">
        <v>115</v>
      </c>
      <c r="I9" s="4" t="n">
        <f aca="false">COUNTIF('Detalle palancas'!$I$5:$I$28,A9)</f>
        <v>5</v>
      </c>
    </row>
    <row r="10" customFormat="false" ht="23.85" hidden="false" customHeight="false" outlineLevel="0" collapsed="false">
      <c r="A10" s="4" t="s">
        <v>63</v>
      </c>
      <c r="B10" s="4" t="s">
        <v>16</v>
      </c>
      <c r="C10" s="5" t="s">
        <v>116</v>
      </c>
      <c r="D10" s="5" t="s">
        <v>117</v>
      </c>
      <c r="E10" s="4" t="s">
        <v>118</v>
      </c>
      <c r="F10" s="4" t="n">
        <f aca="false">COUNTIF(Relación!$A$5:$A$16,A10)</f>
        <v>2</v>
      </c>
      <c r="G10" s="5" t="s">
        <v>119</v>
      </c>
      <c r="H10" s="5" t="s">
        <v>120</v>
      </c>
      <c r="I10" s="4" t="n">
        <f aca="false">COUNTIF('Detalle palancas'!$I$5:$I$28,A10)</f>
        <v>3</v>
      </c>
    </row>
    <row r="11" customFormat="false" ht="23.85" hidden="false" customHeight="false" outlineLevel="0" collapsed="false">
      <c r="A11" s="4" t="s">
        <v>73</v>
      </c>
      <c r="B11" s="4" t="s">
        <v>16</v>
      </c>
      <c r="C11" s="5" t="s">
        <v>121</v>
      </c>
      <c r="D11" s="5" t="s">
        <v>122</v>
      </c>
      <c r="E11" s="4" t="s">
        <v>68</v>
      </c>
      <c r="F11" s="4" t="n">
        <f aca="false">COUNTIF(Relación!$A$5:$A$16,A11)</f>
        <v>1</v>
      </c>
      <c r="G11" s="5" t="s">
        <v>123</v>
      </c>
      <c r="H11" s="5" t="s">
        <v>124</v>
      </c>
      <c r="I11" s="4" t="n">
        <f aca="false">COUNTIF('Detalle palancas'!$I$5:$I$28,A11)</f>
        <v>1</v>
      </c>
    </row>
    <row r="12" customFormat="false" ht="23.85" hidden="false" customHeight="false" outlineLevel="0" collapsed="false">
      <c r="A12" s="4" t="s">
        <v>79</v>
      </c>
      <c r="B12" s="4" t="s">
        <v>16</v>
      </c>
      <c r="C12" s="5" t="s">
        <v>125</v>
      </c>
      <c r="D12" s="5" t="s">
        <v>126</v>
      </c>
      <c r="E12" s="4" t="s">
        <v>127</v>
      </c>
      <c r="F12" s="4" t="n">
        <f aca="false">COUNTIF(Relación!$A$5:$A$16,A12)</f>
        <v>2</v>
      </c>
      <c r="G12" s="5" t="s">
        <v>128</v>
      </c>
      <c r="H12" s="5" t="s">
        <v>129</v>
      </c>
      <c r="I12" s="4" t="n">
        <f aca="false">COUNTIF('Detalle palancas'!$I$5:$I$28,A12)</f>
        <v>2</v>
      </c>
    </row>
  </sheetData>
  <autoFilter ref="A4:I12"/>
  <conditionalFormatting sqref="F5:F12">
    <cfRule type="expression" priority="2" aboveAverage="0" equalAverage="0" bottom="0" percent="0" rank="0" text="" dxfId="5">
      <formula>$F5=0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15" hidden="false" customHeight="false" outlineLevel="0" collapsed="false">
      <c r="A4" s="3" t="s">
        <v>87</v>
      </c>
      <c r="B4" s="3" t="s">
        <v>132</v>
      </c>
      <c r="C4" s="3" t="s">
        <v>6</v>
      </c>
      <c r="D4" s="3" t="s">
        <v>133</v>
      </c>
      <c r="E4" s="3" t="s">
        <v>134</v>
      </c>
    </row>
    <row r="5" customFormat="false" ht="15" hidden="false" customHeight="false" outlineLevel="0" collapsed="false">
      <c r="A5" s="4" t="s">
        <v>23</v>
      </c>
      <c r="B5" s="5" t="str">
        <f aca="false">INDEX(Palancas!$C$5:$C$12,MATCH(A5,Palancas!$A$5:$A$12,0))</f>
        <v>Gestión de la demanda</v>
      </c>
      <c r="C5" s="4" t="s">
        <v>15</v>
      </c>
      <c r="D5" s="5" t="str">
        <f aca="false">INDEX(Hallazgos!$E$5:$E$15,MATCH(C5,Hallazgos!$A$5:$A$15,0))</f>
        <v>Demanda sin previsión fiable</v>
      </c>
      <c r="E5" s="5" t="str">
        <f aca="false">INDEX(Hallazgos!$D$5:$D$15,MATCH(C5,Hallazgos!$A$5:$A$15,0))</f>
        <v>Demanda y previsión</v>
      </c>
    </row>
    <row r="6" customFormat="false" ht="15" hidden="false" customHeight="false" outlineLevel="0" collapsed="false">
      <c r="A6" s="4" t="s">
        <v>31</v>
      </c>
      <c r="B6" s="5" t="str">
        <f aca="false">INDEX(Palancas!$C$5:$C$12,MATCH(A6,Palancas!$A$5:$A$12,0))</f>
        <v>S&amp;OP y plan de capacidad</v>
      </c>
      <c r="C6" s="4" t="s">
        <v>25</v>
      </c>
      <c r="D6" s="5" t="str">
        <f aca="false">INDEX(Hallazgos!$E$5:$E$15,MATCH(C6,Hallazgos!$A$5:$A$15,0))</f>
        <v>Demanda y capacidad sin equilibrar</v>
      </c>
      <c r="E6" s="5" t="str">
        <f aca="false">INDEX(Hallazgos!$D$5:$D$15,MATCH(C6,Hallazgos!$A$5:$A$15,0))</f>
        <v>S&amp;OP y Plan Maestro</v>
      </c>
    </row>
    <row r="7" customFormat="false" ht="15" hidden="false" customHeight="false" outlineLevel="0" collapsed="false">
      <c r="A7" s="4" t="s">
        <v>37</v>
      </c>
      <c r="B7" s="5" t="str">
        <f aca="false">INDEX(Palancas!$C$5:$C$12,MATCH(A7,Palancas!$A$5:$A$12,0))</f>
        <v>Política de inventario por segmento</v>
      </c>
      <c r="C7" s="4" t="s">
        <v>33</v>
      </c>
      <c r="D7" s="5" t="str">
        <f aca="false">INDEX(Hallazgos!$E$5:$E$15,MATCH(C7,Hallazgos!$A$5:$A$15,0))</f>
        <v>Stock sin política</v>
      </c>
      <c r="E7" s="5" t="str">
        <f aca="false">INDEX(Hallazgos!$D$5:$D$15,MATCH(C7,Hallazgos!$A$5:$A$15,0))</f>
        <v>S&amp;OP y Plan Maestro</v>
      </c>
    </row>
    <row r="8" customFormat="false" ht="15" hidden="false" customHeight="false" outlineLevel="0" collapsed="false">
      <c r="A8" s="4" t="s">
        <v>37</v>
      </c>
      <c r="B8" s="5" t="str">
        <f aca="false">INDEX(Palancas!$C$5:$C$12,MATCH(A8,Palancas!$A$5:$A$12,0))</f>
        <v>Política de inventario por segmento</v>
      </c>
      <c r="C8" s="4" t="s">
        <v>39</v>
      </c>
      <c r="D8" s="5" t="str">
        <f aca="false">INDEX(Hallazgos!$E$5:$E$15,MATCH(C8,Hallazgos!$A$5:$A$15,0))</f>
        <v>Fecha al cliente no fiable</v>
      </c>
      <c r="E8" s="5" t="str">
        <f aca="false">INDEX(Hallazgos!$D$5:$D$15,MATCH(C8,Hallazgos!$A$5:$A$15,0))</f>
        <v>S&amp;OP y Plan Maestro</v>
      </c>
    </row>
    <row r="9" customFormat="false" ht="15" hidden="false" customHeight="false" outlineLevel="0" collapsed="false">
      <c r="A9" s="4" t="s">
        <v>106</v>
      </c>
      <c r="B9" s="5" t="str">
        <f aca="false">INDEX(Palancas!$C$5:$C$12,MATCH(A9,Palancas!$A$5:$A$12,0))</f>
        <v>Promesa de fecha fiable</v>
      </c>
      <c r="C9" s="4" t="s">
        <v>39</v>
      </c>
      <c r="D9" s="5" t="str">
        <f aca="false">INDEX(Hallazgos!$E$5:$E$15,MATCH(C9,Hallazgos!$A$5:$A$15,0))</f>
        <v>Fecha al cliente no fiable</v>
      </c>
      <c r="E9" s="5" t="str">
        <f aca="false">INDEX(Hallazgos!$D$5:$D$15,MATCH(C9,Hallazgos!$A$5:$A$15,0))</f>
        <v>S&amp;OP y Plan Maestro</v>
      </c>
    </row>
    <row r="10" customFormat="false" ht="15" hidden="false" customHeight="false" outlineLevel="0" collapsed="false">
      <c r="A10" s="4" t="s">
        <v>53</v>
      </c>
      <c r="B10" s="5" t="str">
        <f aca="false">INDEX(Palancas!$C$5:$C$12,MATCH(A10,Palancas!$A$5:$A$12,0))</f>
        <v>Planificación de materiales por excepción</v>
      </c>
      <c r="C10" s="4" t="s">
        <v>47</v>
      </c>
      <c r="D10" s="5" t="str">
        <f aca="false">INDEX(Hallazgos!$E$5:$E$15,MATCH(C10,Hallazgos!$A$5:$A$15,0))</f>
        <v>Faltas tardías y gestionadas a mano</v>
      </c>
      <c r="E10" s="5" t="str">
        <f aca="false">INDEX(Hallazgos!$D$5:$D$15,MATCH(C10,Hallazgos!$A$5:$A$15,0))</f>
        <v>Necesidades y Aprovisionamiento</v>
      </c>
    </row>
    <row r="11" customFormat="false" ht="15" hidden="false" customHeight="false" outlineLevel="0" collapsed="false">
      <c r="A11" s="4" t="s">
        <v>53</v>
      </c>
      <c r="B11" s="5" t="str">
        <f aca="false">INDEX(Palancas!$C$5:$C$12,MATCH(A11,Palancas!$A$5:$A$12,0))</f>
        <v>Planificación de materiales por excepción</v>
      </c>
      <c r="C11" s="4" t="s">
        <v>54</v>
      </c>
      <c r="D11" s="5" t="str">
        <f aca="false">INDEX(Hallazgos!$E$5:$E$15,MATCH(C11,Hallazgos!$A$5:$A$15,0))</f>
        <v>Necesidades poco fiables</v>
      </c>
      <c r="E11" s="5" t="str">
        <f aca="false">INDEX(Hallazgos!$D$5:$D$15,MATCH(C11,Hallazgos!$A$5:$A$15,0))</f>
        <v>Necesidades y Aprovisionamiento</v>
      </c>
    </row>
    <row r="12" customFormat="false" ht="15" hidden="false" customHeight="false" outlineLevel="0" collapsed="false">
      <c r="A12" s="4" t="s">
        <v>63</v>
      </c>
      <c r="B12" s="5" t="str">
        <f aca="false">INDEX(Palancas!$C$5:$C$12,MATCH(A12,Palancas!$A$5:$A$12,0))</f>
        <v>Programación estable y optimizada</v>
      </c>
      <c r="C12" s="4" t="s">
        <v>58</v>
      </c>
      <c r="D12" s="5" t="str">
        <f aca="false">INDEX(Hallazgos!$E$5:$E$15,MATCH(C12,Hallazgos!$A$5:$A$15,0))</f>
        <v>Secuencia sin optimizar</v>
      </c>
      <c r="E12" s="5" t="str">
        <f aca="false">INDEX(Hallazgos!$D$5:$D$15,MATCH(C12,Hallazgos!$A$5:$A$15,0))</f>
        <v>Programación</v>
      </c>
    </row>
    <row r="13" customFormat="false" ht="15" hidden="false" customHeight="false" outlineLevel="0" collapsed="false">
      <c r="A13" s="4" t="s">
        <v>63</v>
      </c>
      <c r="B13" s="5" t="str">
        <f aca="false">INDEX(Palancas!$C$5:$C$12,MATCH(A13,Palancas!$A$5:$A$12,0))</f>
        <v>Programación estable y optimizada</v>
      </c>
      <c r="C13" s="4" t="s">
        <v>64</v>
      </c>
      <c r="D13" s="5" t="str">
        <f aca="false">INDEX(Hallazgos!$E$5:$E$15,MATCH(C13,Hallazgos!$A$5:$A$15,0))</f>
        <v>Programa inestable</v>
      </c>
      <c r="E13" s="5" t="str">
        <f aca="false">INDEX(Hallazgos!$D$5:$D$15,MATCH(C13,Hallazgos!$A$5:$A$15,0))</f>
        <v>Programación</v>
      </c>
    </row>
    <row r="14" customFormat="false" ht="15" hidden="false" customHeight="false" outlineLevel="0" collapsed="false">
      <c r="A14" s="4" t="s">
        <v>73</v>
      </c>
      <c r="B14" s="5" t="str">
        <f aca="false">INDEX(Palancas!$C$5:$C$12,MATCH(A14,Palancas!$A$5:$A$12,0))</f>
        <v>Liberación controlada</v>
      </c>
      <c r="C14" s="4" t="s">
        <v>68</v>
      </c>
      <c r="D14" s="5" t="str">
        <f aca="false">INDEX(Hallazgos!$E$5:$E$15,MATCH(C14,Hallazgos!$A$5:$A$15,0))</f>
        <v>Liberación sin control</v>
      </c>
      <c r="E14" s="5" t="str">
        <f aca="false">INDEX(Hallazgos!$D$5:$D$15,MATCH(C14,Hallazgos!$A$5:$A$15,0))</f>
        <v>Liberación</v>
      </c>
    </row>
    <row r="15" customFormat="false" ht="15" hidden="false" customHeight="false" outlineLevel="0" collapsed="false">
      <c r="A15" s="4" t="s">
        <v>79</v>
      </c>
      <c r="B15" s="5" t="str">
        <f aca="false">INDEX(Palancas!$C$5:$C$12,MATCH(A15,Palancas!$A$5:$A$12,0))</f>
        <v>Control del servicio y mejora continua</v>
      </c>
      <c r="C15" s="4" t="s">
        <v>74</v>
      </c>
      <c r="D15" s="5" t="str">
        <f aca="false">INDEX(Hallazgos!$E$5:$E$15,MATCH(C15,Hallazgos!$A$5:$A$15,0))</f>
        <v>Servicio sin control</v>
      </c>
      <c r="E15" s="5" t="str">
        <f aca="false">INDEX(Hallazgos!$D$5:$D$15,MATCH(C15,Hallazgos!$A$5:$A$15,0))</f>
        <v>Seguimiento y Control</v>
      </c>
    </row>
    <row r="16" customFormat="false" ht="15" hidden="false" customHeight="false" outlineLevel="0" collapsed="false">
      <c r="A16" s="4" t="s">
        <v>79</v>
      </c>
      <c r="B16" s="5" t="str">
        <f aca="false">INDEX(Palancas!$C$5:$C$12,MATCH(A16,Palancas!$A$5:$A$12,0))</f>
        <v>Control del servicio y mejora continua</v>
      </c>
      <c r="C16" s="4" t="s">
        <v>81</v>
      </c>
      <c r="D16" s="5" t="str">
        <f aca="false">INDEX(Hallazgos!$E$5:$E$15,MATCH(C16,Hallazgos!$A$5:$A$15,0))</f>
        <v>Ciclo sin aprendizaje</v>
      </c>
      <c r="E16" s="5" t="str">
        <f aca="false">INDEX(Hallazgos!$D$5:$D$15,MATCH(C16,Hallazgos!$A$5:$A$15,0))</f>
        <v>Seguimiento y Control</v>
      </c>
    </row>
  </sheetData>
  <autoFilter ref="A4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56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38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15" hidden="false" customHeight="false" outlineLevel="0" collapsed="false">
      <c r="A4" s="3" t="s">
        <v>137</v>
      </c>
      <c r="B4" s="3" t="s">
        <v>5</v>
      </c>
      <c r="C4" s="3" t="s">
        <v>138</v>
      </c>
      <c r="D4" s="3" t="s">
        <v>8</v>
      </c>
      <c r="E4" s="3" t="s">
        <v>9</v>
      </c>
      <c r="F4" s="3" t="s">
        <v>10</v>
      </c>
      <c r="G4" s="3" t="s">
        <v>139</v>
      </c>
      <c r="H4" s="3" t="s">
        <v>140</v>
      </c>
      <c r="I4" s="3" t="s">
        <v>141</v>
      </c>
      <c r="J4" s="3" t="s">
        <v>14</v>
      </c>
    </row>
    <row r="5" customFormat="false" ht="23.85" hidden="false" customHeight="false" outlineLevel="0" collapsed="false">
      <c r="A5" s="4" t="s">
        <v>142</v>
      </c>
      <c r="B5" s="5" t="s">
        <v>17</v>
      </c>
      <c r="C5" s="5" t="s">
        <v>143</v>
      </c>
      <c r="D5" s="5" t="s">
        <v>20</v>
      </c>
      <c r="E5" s="5" t="s">
        <v>21</v>
      </c>
      <c r="F5" s="5" t="s">
        <v>144</v>
      </c>
      <c r="G5" s="4" t="s">
        <v>15</v>
      </c>
      <c r="H5" s="5" t="str">
        <f aca="false">INDEX(Hallazgos!$E$5:$E$15,MATCH(G5,Hallazgos!$A$5:$A$15,0))</f>
        <v>Demanda sin previsión fiable</v>
      </c>
      <c r="I5" s="5" t="s">
        <v>145</v>
      </c>
      <c r="J5" s="5"/>
    </row>
    <row r="6" customFormat="false" ht="23.85" hidden="false" customHeight="false" outlineLevel="0" collapsed="false">
      <c r="A6" s="4" t="s">
        <v>146</v>
      </c>
      <c r="B6" s="5" t="s">
        <v>17</v>
      </c>
      <c r="C6" s="5" t="s">
        <v>147</v>
      </c>
      <c r="D6" s="5" t="s">
        <v>20</v>
      </c>
      <c r="E6" s="5" t="s">
        <v>21</v>
      </c>
      <c r="F6" s="5" t="s">
        <v>148</v>
      </c>
      <c r="G6" s="4" t="s">
        <v>15</v>
      </c>
      <c r="H6" s="5" t="str">
        <f aca="false">INDEX(Hallazgos!$E$5:$E$15,MATCH(G6,Hallazgos!$A$5:$A$15,0))</f>
        <v>Demanda sin previsión fiable</v>
      </c>
      <c r="I6" s="5" t="s">
        <v>149</v>
      </c>
      <c r="J6" s="5"/>
    </row>
    <row r="7" customFormat="false" ht="23.85" hidden="false" customHeight="false" outlineLevel="0" collapsed="false">
      <c r="A7" s="4" t="s">
        <v>150</v>
      </c>
      <c r="B7" s="5" t="s">
        <v>17</v>
      </c>
      <c r="C7" s="5" t="s">
        <v>151</v>
      </c>
      <c r="D7" s="5" t="s">
        <v>20</v>
      </c>
      <c r="E7" s="5" t="s">
        <v>21</v>
      </c>
      <c r="F7" s="5" t="s">
        <v>152</v>
      </c>
      <c r="G7" s="4" t="s">
        <v>15</v>
      </c>
      <c r="H7" s="5" t="str">
        <f aca="false">INDEX(Hallazgos!$E$5:$E$15,MATCH(G7,Hallazgos!$A$5:$A$15,0))</f>
        <v>Demanda sin previsión fiable</v>
      </c>
      <c r="I7" s="5" t="s">
        <v>153</v>
      </c>
      <c r="J7" s="5" t="s">
        <v>154</v>
      </c>
    </row>
    <row r="8" customFormat="false" ht="15" hidden="false" customHeight="false" outlineLevel="0" collapsed="false">
      <c r="A8" s="4" t="s">
        <v>155</v>
      </c>
      <c r="B8" s="5" t="s">
        <v>17</v>
      </c>
      <c r="C8" s="5" t="s">
        <v>156</v>
      </c>
      <c r="D8" s="5" t="s">
        <v>20</v>
      </c>
      <c r="E8" s="5" t="s">
        <v>21</v>
      </c>
      <c r="F8" s="5" t="s">
        <v>157</v>
      </c>
      <c r="G8" s="4" t="s">
        <v>15</v>
      </c>
      <c r="H8" s="5" t="str">
        <f aca="false">INDEX(Hallazgos!$E$5:$E$15,MATCH(G8,Hallazgos!$A$5:$A$15,0))</f>
        <v>Demanda sin previsión fiable</v>
      </c>
      <c r="I8" s="5" t="s">
        <v>158</v>
      </c>
      <c r="J8" s="5"/>
    </row>
    <row r="9" customFormat="false" ht="15" hidden="false" customHeight="false" outlineLevel="0" collapsed="false">
      <c r="A9" s="4" t="s">
        <v>159</v>
      </c>
      <c r="B9" s="5" t="s">
        <v>17</v>
      </c>
      <c r="C9" s="5" t="s">
        <v>160</v>
      </c>
      <c r="D9" s="5" t="s">
        <v>20</v>
      </c>
      <c r="E9" s="5" t="s">
        <v>21</v>
      </c>
      <c r="F9" s="5" t="s">
        <v>161</v>
      </c>
      <c r="G9" s="4" t="s">
        <v>15</v>
      </c>
      <c r="H9" s="5" t="str">
        <f aca="false">INDEX(Hallazgos!$E$5:$E$15,MATCH(G9,Hallazgos!$A$5:$A$15,0))</f>
        <v>Demanda sin previsión fiable</v>
      </c>
      <c r="I9" s="5" t="s">
        <v>162</v>
      </c>
      <c r="J9" s="5"/>
    </row>
    <row r="10" customFormat="false" ht="23.85" hidden="false" customHeight="false" outlineLevel="0" collapsed="false">
      <c r="A10" s="4" t="s">
        <v>163</v>
      </c>
      <c r="B10" s="5" t="s">
        <v>17</v>
      </c>
      <c r="C10" s="5" t="s">
        <v>164</v>
      </c>
      <c r="D10" s="5" t="s">
        <v>20</v>
      </c>
      <c r="E10" s="5" t="s">
        <v>29</v>
      </c>
      <c r="F10" s="5" t="s">
        <v>165</v>
      </c>
      <c r="G10" s="4" t="s">
        <v>15</v>
      </c>
      <c r="H10" s="5" t="str">
        <f aca="false">INDEX(Hallazgos!$E$5:$E$15,MATCH(G10,Hallazgos!$A$5:$A$15,0))</f>
        <v>Demanda sin previsión fiable</v>
      </c>
      <c r="I10" s="5" t="s">
        <v>166</v>
      </c>
      <c r="J10" s="5"/>
    </row>
    <row r="11" customFormat="false" ht="23.85" hidden="false" customHeight="false" outlineLevel="0" collapsed="false">
      <c r="A11" s="4" t="s">
        <v>167</v>
      </c>
      <c r="B11" s="5" t="s">
        <v>17</v>
      </c>
      <c r="C11" s="5" t="s">
        <v>168</v>
      </c>
      <c r="D11" s="5" t="s">
        <v>20</v>
      </c>
      <c r="E11" s="5" t="s">
        <v>21</v>
      </c>
      <c r="F11" s="5" t="s">
        <v>169</v>
      </c>
      <c r="G11" s="4" t="s">
        <v>15</v>
      </c>
      <c r="H11" s="5" t="str">
        <f aca="false">INDEX(Hallazgos!$E$5:$E$15,MATCH(G11,Hallazgos!$A$5:$A$15,0))</f>
        <v>Demanda sin previsión fiable</v>
      </c>
      <c r="I11" s="5" t="s">
        <v>166</v>
      </c>
      <c r="J11" s="5" t="s">
        <v>170</v>
      </c>
    </row>
    <row r="12" customFormat="false" ht="23.85" hidden="false" customHeight="false" outlineLevel="0" collapsed="false">
      <c r="A12" s="4" t="s">
        <v>171</v>
      </c>
      <c r="B12" s="5" t="s">
        <v>26</v>
      </c>
      <c r="C12" s="5" t="s">
        <v>172</v>
      </c>
      <c r="D12" s="5" t="s">
        <v>20</v>
      </c>
      <c r="E12" s="5" t="s">
        <v>51</v>
      </c>
      <c r="F12" s="5" t="s">
        <v>173</v>
      </c>
      <c r="G12" s="4" t="s">
        <v>25</v>
      </c>
      <c r="H12" s="5" t="str">
        <f aca="false">INDEX(Hallazgos!$E$5:$E$15,MATCH(G12,Hallazgos!$A$5:$A$15,0))</f>
        <v>Demanda y capacidad sin equilibrar</v>
      </c>
      <c r="I12" s="5" t="s">
        <v>174</v>
      </c>
      <c r="J12" s="5" t="s">
        <v>175</v>
      </c>
    </row>
    <row r="13" customFormat="false" ht="23.85" hidden="false" customHeight="false" outlineLevel="0" collapsed="false">
      <c r="A13" s="4" t="s">
        <v>176</v>
      </c>
      <c r="B13" s="5" t="s">
        <v>26</v>
      </c>
      <c r="C13" s="5" t="s">
        <v>177</v>
      </c>
      <c r="D13" s="5" t="s">
        <v>20</v>
      </c>
      <c r="E13" s="5" t="s">
        <v>29</v>
      </c>
      <c r="F13" s="5" t="s">
        <v>178</v>
      </c>
      <c r="G13" s="4" t="s">
        <v>25</v>
      </c>
      <c r="H13" s="5" t="str">
        <f aca="false">INDEX(Hallazgos!$E$5:$E$15,MATCH(G13,Hallazgos!$A$5:$A$15,0))</f>
        <v>Demanda y capacidad sin equilibrar</v>
      </c>
      <c r="I13" s="5" t="s">
        <v>179</v>
      </c>
      <c r="J13" s="5"/>
    </row>
    <row r="14" customFormat="false" ht="23.85" hidden="false" customHeight="false" outlineLevel="0" collapsed="false">
      <c r="A14" s="4" t="s">
        <v>180</v>
      </c>
      <c r="B14" s="5" t="s">
        <v>26</v>
      </c>
      <c r="C14" s="5" t="s">
        <v>181</v>
      </c>
      <c r="D14" s="5" t="s">
        <v>20</v>
      </c>
      <c r="E14" s="5" t="s">
        <v>21</v>
      </c>
      <c r="F14" s="5" t="s">
        <v>182</v>
      </c>
      <c r="G14" s="4" t="s">
        <v>33</v>
      </c>
      <c r="H14" s="5" t="str">
        <f aca="false">INDEX(Hallazgos!$E$5:$E$15,MATCH(G14,Hallazgos!$A$5:$A$15,0))</f>
        <v>Stock sin política</v>
      </c>
      <c r="I14" s="5" t="s">
        <v>105</v>
      </c>
      <c r="J14" s="5" t="s">
        <v>183</v>
      </c>
    </row>
    <row r="15" customFormat="false" ht="23.85" hidden="false" customHeight="false" outlineLevel="0" collapsed="false">
      <c r="A15" s="4" t="s">
        <v>184</v>
      </c>
      <c r="B15" s="5" t="s">
        <v>26</v>
      </c>
      <c r="C15" s="5" t="s">
        <v>185</v>
      </c>
      <c r="D15" s="5" t="s">
        <v>20</v>
      </c>
      <c r="E15" s="5" t="s">
        <v>21</v>
      </c>
      <c r="F15" s="5" t="s">
        <v>186</v>
      </c>
      <c r="G15" s="4" t="s">
        <v>33</v>
      </c>
      <c r="H15" s="5" t="str">
        <f aca="false">INDEX(Hallazgos!$E$5:$E$15,MATCH(G15,Hallazgos!$A$5:$A$15,0))</f>
        <v>Stock sin política</v>
      </c>
      <c r="I15" s="5" t="s">
        <v>105</v>
      </c>
      <c r="J15" s="5" t="s">
        <v>187</v>
      </c>
    </row>
    <row r="16" customFormat="false" ht="15" hidden="false" customHeight="false" outlineLevel="0" collapsed="false">
      <c r="A16" s="4" t="s">
        <v>188</v>
      </c>
      <c r="B16" s="5" t="s">
        <v>26</v>
      </c>
      <c r="C16" s="5" t="s">
        <v>189</v>
      </c>
      <c r="D16" s="5" t="s">
        <v>42</v>
      </c>
      <c r="E16" s="5" t="s">
        <v>43</v>
      </c>
      <c r="F16" s="5" t="s">
        <v>190</v>
      </c>
      <c r="G16" s="4" t="s">
        <v>39</v>
      </c>
      <c r="H16" s="5" t="str">
        <f aca="false">INDEX(Hallazgos!$E$5:$E$15,MATCH(G16,Hallazgos!$A$5:$A$15,0))</f>
        <v>Fecha al cliente no fiable</v>
      </c>
      <c r="I16" s="5" t="s">
        <v>105</v>
      </c>
      <c r="J16" s="5"/>
    </row>
    <row r="17" customFormat="false" ht="23.85" hidden="false" customHeight="false" outlineLevel="0" collapsed="false">
      <c r="A17" s="4" t="s">
        <v>191</v>
      </c>
      <c r="B17" s="5" t="s">
        <v>26</v>
      </c>
      <c r="C17" s="5" t="s">
        <v>192</v>
      </c>
      <c r="D17" s="5" t="s">
        <v>42</v>
      </c>
      <c r="E17" s="5" t="s">
        <v>43</v>
      </c>
      <c r="F17" s="5" t="s">
        <v>193</v>
      </c>
      <c r="G17" s="4" t="s">
        <v>39</v>
      </c>
      <c r="H17" s="5" t="str">
        <f aca="false">INDEX(Hallazgos!$E$5:$E$15,MATCH(G17,Hallazgos!$A$5:$A$15,0))</f>
        <v>Fecha al cliente no fiable</v>
      </c>
      <c r="I17" s="5" t="s">
        <v>194</v>
      </c>
      <c r="J17" s="5"/>
    </row>
    <row r="18" customFormat="false" ht="15" hidden="false" customHeight="false" outlineLevel="0" collapsed="false">
      <c r="A18" s="4" t="s">
        <v>195</v>
      </c>
      <c r="B18" s="5" t="s">
        <v>26</v>
      </c>
      <c r="C18" s="5" t="s">
        <v>196</v>
      </c>
      <c r="D18" s="5" t="s">
        <v>42</v>
      </c>
      <c r="E18" s="5" t="s">
        <v>43</v>
      </c>
      <c r="F18" s="5" t="s">
        <v>197</v>
      </c>
      <c r="G18" s="4" t="s">
        <v>39</v>
      </c>
      <c r="H18" s="5" t="str">
        <f aca="false">INDEX(Hallazgos!$E$5:$E$15,MATCH(G18,Hallazgos!$A$5:$A$15,0))</f>
        <v>Fecha al cliente no fiable</v>
      </c>
      <c r="I18" s="5" t="s">
        <v>198</v>
      </c>
      <c r="J18" s="5"/>
    </row>
    <row r="19" customFormat="false" ht="23.85" hidden="false" customHeight="false" outlineLevel="0" collapsed="false">
      <c r="A19" s="4" t="s">
        <v>199</v>
      </c>
      <c r="B19" s="5" t="s">
        <v>26</v>
      </c>
      <c r="C19" s="5" t="s">
        <v>200</v>
      </c>
      <c r="D19" s="5" t="s">
        <v>20</v>
      </c>
      <c r="E19" s="5" t="s">
        <v>201</v>
      </c>
      <c r="F19" s="5" t="s">
        <v>202</v>
      </c>
      <c r="G19" s="4" t="s">
        <v>25</v>
      </c>
      <c r="H19" s="5" t="str">
        <f aca="false">INDEX(Hallazgos!$E$5:$E$15,MATCH(G19,Hallazgos!$A$5:$A$15,0))</f>
        <v>Demanda y capacidad sin equilibrar</v>
      </c>
      <c r="I19" s="5" t="s">
        <v>203</v>
      </c>
      <c r="J19" s="5" t="s">
        <v>204</v>
      </c>
    </row>
    <row r="20" customFormat="false" ht="23.85" hidden="false" customHeight="false" outlineLevel="0" collapsed="false">
      <c r="A20" s="4" t="s">
        <v>205</v>
      </c>
      <c r="B20" s="5" t="s">
        <v>26</v>
      </c>
      <c r="C20" s="5" t="s">
        <v>206</v>
      </c>
      <c r="D20" s="5" t="s">
        <v>20</v>
      </c>
      <c r="E20" s="5" t="s">
        <v>29</v>
      </c>
      <c r="F20" s="5" t="s">
        <v>207</v>
      </c>
      <c r="G20" s="4" t="s">
        <v>25</v>
      </c>
      <c r="H20" s="5" t="str">
        <f aca="false">INDEX(Hallazgos!$E$5:$E$15,MATCH(G20,Hallazgos!$A$5:$A$15,0))</f>
        <v>Demanda y capacidad sin equilibrar</v>
      </c>
      <c r="I20" s="5" t="s">
        <v>208</v>
      </c>
      <c r="J20" s="5" t="s">
        <v>209</v>
      </c>
    </row>
    <row r="21" customFormat="false" ht="23.85" hidden="false" customHeight="false" outlineLevel="0" collapsed="false">
      <c r="A21" s="4" t="s">
        <v>210</v>
      </c>
      <c r="B21" s="5" t="s">
        <v>48</v>
      </c>
      <c r="C21" s="5" t="s">
        <v>211</v>
      </c>
      <c r="D21" s="5" t="s">
        <v>20</v>
      </c>
      <c r="E21" s="5" t="s">
        <v>21</v>
      </c>
      <c r="F21" s="5" t="s">
        <v>212</v>
      </c>
      <c r="G21" s="4" t="s">
        <v>54</v>
      </c>
      <c r="H21" s="5" t="str">
        <f aca="false">INDEX(Hallazgos!$E$5:$E$15,MATCH(G21,Hallazgos!$A$5:$A$15,0))</f>
        <v>Necesidades poco fiables</v>
      </c>
      <c r="I21" s="5" t="s">
        <v>213</v>
      </c>
      <c r="J21" s="5"/>
    </row>
    <row r="22" customFormat="false" ht="23.85" hidden="false" customHeight="false" outlineLevel="0" collapsed="false">
      <c r="A22" s="4" t="s">
        <v>214</v>
      </c>
      <c r="B22" s="5" t="s">
        <v>48</v>
      </c>
      <c r="C22" s="5" t="s">
        <v>215</v>
      </c>
      <c r="D22" s="5" t="s">
        <v>20</v>
      </c>
      <c r="E22" s="5" t="s">
        <v>29</v>
      </c>
      <c r="F22" s="5" t="s">
        <v>216</v>
      </c>
      <c r="G22" s="4" t="s">
        <v>47</v>
      </c>
      <c r="H22" s="5" t="str">
        <f aca="false">INDEX(Hallazgos!$E$5:$E$15,MATCH(G22,Hallazgos!$A$5:$A$15,0))</f>
        <v>Faltas tardías y gestionadas a mano</v>
      </c>
      <c r="I22" s="5" t="s">
        <v>217</v>
      </c>
      <c r="J22" s="5"/>
    </row>
    <row r="23" customFormat="false" ht="23.85" hidden="false" customHeight="false" outlineLevel="0" collapsed="false">
      <c r="A23" s="4" t="s">
        <v>218</v>
      </c>
      <c r="B23" s="5" t="s">
        <v>48</v>
      </c>
      <c r="C23" s="5" t="s">
        <v>219</v>
      </c>
      <c r="D23" s="5" t="s">
        <v>20</v>
      </c>
      <c r="E23" s="5" t="s">
        <v>201</v>
      </c>
      <c r="F23" s="5" t="s">
        <v>220</v>
      </c>
      <c r="G23" s="4" t="s">
        <v>47</v>
      </c>
      <c r="H23" s="5" t="str">
        <f aca="false">INDEX(Hallazgos!$E$5:$E$15,MATCH(G23,Hallazgos!$A$5:$A$15,0))</f>
        <v>Faltas tardías y gestionadas a mano</v>
      </c>
      <c r="I23" s="5" t="s">
        <v>221</v>
      </c>
      <c r="J23" s="5"/>
    </row>
    <row r="24" customFormat="false" ht="15" hidden="false" customHeight="false" outlineLevel="0" collapsed="false">
      <c r="A24" s="4" t="s">
        <v>222</v>
      </c>
      <c r="B24" s="5" t="s">
        <v>48</v>
      </c>
      <c r="C24" s="5" t="s">
        <v>223</v>
      </c>
      <c r="D24" s="5" t="s">
        <v>20</v>
      </c>
      <c r="E24" s="5" t="s">
        <v>51</v>
      </c>
      <c r="F24" s="5" t="s">
        <v>224</v>
      </c>
      <c r="G24" s="4" t="s">
        <v>47</v>
      </c>
      <c r="H24" s="5" t="str">
        <f aca="false">INDEX(Hallazgos!$E$5:$E$15,MATCH(G24,Hallazgos!$A$5:$A$15,0))</f>
        <v>Faltas tardías y gestionadas a mano</v>
      </c>
      <c r="I24" s="5" t="s">
        <v>217</v>
      </c>
      <c r="J24" s="5"/>
    </row>
    <row r="25" customFormat="false" ht="15" hidden="false" customHeight="false" outlineLevel="0" collapsed="false">
      <c r="A25" s="4" t="s">
        <v>225</v>
      </c>
      <c r="B25" s="5" t="s">
        <v>48</v>
      </c>
      <c r="C25" s="5" t="s">
        <v>226</v>
      </c>
      <c r="D25" s="5" t="s">
        <v>20</v>
      </c>
      <c r="E25" s="5" t="s">
        <v>21</v>
      </c>
      <c r="F25" s="5" t="s">
        <v>227</v>
      </c>
      <c r="G25" s="4" t="s">
        <v>54</v>
      </c>
      <c r="H25" s="5" t="str">
        <f aca="false">INDEX(Hallazgos!$E$5:$E$15,MATCH(G25,Hallazgos!$A$5:$A$15,0))</f>
        <v>Necesidades poco fiables</v>
      </c>
      <c r="I25" s="5" t="s">
        <v>228</v>
      </c>
      <c r="J25" s="5"/>
    </row>
    <row r="26" customFormat="false" ht="23.85" hidden="false" customHeight="false" outlineLevel="0" collapsed="false">
      <c r="A26" s="4" t="s">
        <v>229</v>
      </c>
      <c r="B26" s="5" t="s">
        <v>48</v>
      </c>
      <c r="C26" s="5" t="s">
        <v>230</v>
      </c>
      <c r="D26" s="5" t="s">
        <v>20</v>
      </c>
      <c r="E26" s="5" t="s">
        <v>29</v>
      </c>
      <c r="F26" s="5" t="s">
        <v>231</v>
      </c>
      <c r="G26" s="4" t="s">
        <v>54</v>
      </c>
      <c r="H26" s="5" t="str">
        <f aca="false">INDEX(Hallazgos!$E$5:$E$15,MATCH(G26,Hallazgos!$A$5:$A$15,0))</f>
        <v>Necesidades poco fiables</v>
      </c>
      <c r="I26" s="5" t="s">
        <v>232</v>
      </c>
      <c r="J26" s="5"/>
    </row>
    <row r="27" customFormat="false" ht="23.85" hidden="false" customHeight="false" outlineLevel="0" collapsed="false">
      <c r="A27" s="4" t="s">
        <v>233</v>
      </c>
      <c r="B27" s="5" t="s">
        <v>48</v>
      </c>
      <c r="C27" s="5" t="s">
        <v>234</v>
      </c>
      <c r="D27" s="5" t="s">
        <v>20</v>
      </c>
      <c r="E27" s="5" t="s">
        <v>21</v>
      </c>
      <c r="F27" s="5" t="s">
        <v>235</v>
      </c>
      <c r="G27" s="4" t="s">
        <v>33</v>
      </c>
      <c r="H27" s="5" t="str">
        <f aca="false">INDEX(Hallazgos!$E$5:$E$15,MATCH(G27,Hallazgos!$A$5:$A$15,0))</f>
        <v>Stock sin política</v>
      </c>
      <c r="I27" s="5" t="s">
        <v>105</v>
      </c>
      <c r="J27" s="5"/>
    </row>
    <row r="28" customFormat="false" ht="23.85" hidden="false" customHeight="false" outlineLevel="0" collapsed="false">
      <c r="A28" s="4" t="s">
        <v>236</v>
      </c>
      <c r="B28" s="5" t="s">
        <v>59</v>
      </c>
      <c r="C28" s="5" t="s">
        <v>237</v>
      </c>
      <c r="D28" s="5" t="s">
        <v>20</v>
      </c>
      <c r="E28" s="5" t="s">
        <v>29</v>
      </c>
      <c r="F28" s="5" t="s">
        <v>238</v>
      </c>
      <c r="G28" s="4" t="s">
        <v>58</v>
      </c>
      <c r="H28" s="5" t="str">
        <f aca="false">INDEX(Hallazgos!$E$5:$E$15,MATCH(G28,Hallazgos!$A$5:$A$15,0))</f>
        <v>Secuencia sin optimizar</v>
      </c>
      <c r="I28" s="5" t="s">
        <v>239</v>
      </c>
      <c r="J28" s="5"/>
    </row>
    <row r="29" customFormat="false" ht="23.85" hidden="false" customHeight="false" outlineLevel="0" collapsed="false">
      <c r="A29" s="4" t="s">
        <v>240</v>
      </c>
      <c r="B29" s="5" t="s">
        <v>59</v>
      </c>
      <c r="C29" s="5" t="s">
        <v>241</v>
      </c>
      <c r="D29" s="5" t="s">
        <v>20</v>
      </c>
      <c r="E29" s="5" t="s">
        <v>29</v>
      </c>
      <c r="F29" s="5" t="s">
        <v>242</v>
      </c>
      <c r="G29" s="4" t="s">
        <v>58</v>
      </c>
      <c r="H29" s="5" t="str">
        <f aca="false">INDEX(Hallazgos!$E$5:$E$15,MATCH(G29,Hallazgos!$A$5:$A$15,0))</f>
        <v>Secuencia sin optimizar</v>
      </c>
      <c r="I29" s="5" t="s">
        <v>239</v>
      </c>
      <c r="J29" s="5"/>
    </row>
    <row r="30" customFormat="false" ht="23.85" hidden="false" customHeight="false" outlineLevel="0" collapsed="false">
      <c r="A30" s="4" t="s">
        <v>243</v>
      </c>
      <c r="B30" s="5" t="s">
        <v>59</v>
      </c>
      <c r="C30" s="5" t="s">
        <v>244</v>
      </c>
      <c r="D30" s="5" t="s">
        <v>20</v>
      </c>
      <c r="E30" s="5" t="s">
        <v>29</v>
      </c>
      <c r="F30" s="5" t="s">
        <v>67</v>
      </c>
      <c r="G30" s="4" t="s">
        <v>64</v>
      </c>
      <c r="H30" s="5" t="str">
        <f aca="false">INDEX(Hallazgos!$E$5:$E$15,MATCH(G30,Hallazgos!$A$5:$A$15,0))</f>
        <v>Programa inestable</v>
      </c>
      <c r="I30" s="5" t="s">
        <v>245</v>
      </c>
      <c r="J30" s="5"/>
    </row>
    <row r="31" customFormat="false" ht="23.85" hidden="false" customHeight="false" outlineLevel="0" collapsed="false">
      <c r="A31" s="4" t="s">
        <v>246</v>
      </c>
      <c r="B31" s="5" t="s">
        <v>59</v>
      </c>
      <c r="C31" s="5" t="s">
        <v>247</v>
      </c>
      <c r="D31" s="5" t="s">
        <v>20</v>
      </c>
      <c r="E31" s="5" t="s">
        <v>201</v>
      </c>
      <c r="F31" s="5" t="s">
        <v>248</v>
      </c>
      <c r="G31" s="4" t="s">
        <v>64</v>
      </c>
      <c r="H31" s="5" t="str">
        <f aca="false">INDEX(Hallazgos!$E$5:$E$15,MATCH(G31,Hallazgos!$A$5:$A$15,0))</f>
        <v>Programa inestable</v>
      </c>
      <c r="I31" s="5" t="s">
        <v>249</v>
      </c>
      <c r="J31" s="5"/>
    </row>
    <row r="32" customFormat="false" ht="23.85" hidden="false" customHeight="false" outlineLevel="0" collapsed="false">
      <c r="A32" s="4" t="s">
        <v>250</v>
      </c>
      <c r="B32" s="5" t="s">
        <v>59</v>
      </c>
      <c r="C32" s="5" t="s">
        <v>251</v>
      </c>
      <c r="D32" s="5" t="s">
        <v>20</v>
      </c>
      <c r="E32" s="5" t="s">
        <v>29</v>
      </c>
      <c r="F32" s="5" t="s">
        <v>252</v>
      </c>
      <c r="G32" s="4" t="s">
        <v>58</v>
      </c>
      <c r="H32" s="5" t="str">
        <f aca="false">INDEX(Hallazgos!$E$5:$E$15,MATCH(G32,Hallazgos!$A$5:$A$15,0))</f>
        <v>Secuencia sin optimizar</v>
      </c>
      <c r="I32" s="5" t="s">
        <v>239</v>
      </c>
      <c r="J32" s="5"/>
    </row>
    <row r="33" customFormat="false" ht="23.85" hidden="false" customHeight="false" outlineLevel="0" collapsed="false">
      <c r="A33" s="4" t="s">
        <v>253</v>
      </c>
      <c r="B33" s="5" t="s">
        <v>69</v>
      </c>
      <c r="C33" s="5" t="s">
        <v>254</v>
      </c>
      <c r="D33" s="5" t="s">
        <v>20</v>
      </c>
      <c r="E33" s="5" t="s">
        <v>29</v>
      </c>
      <c r="F33" s="5" t="s">
        <v>72</v>
      </c>
      <c r="G33" s="4" t="s">
        <v>68</v>
      </c>
      <c r="H33" s="5" t="str">
        <f aca="false">INDEX(Hallazgos!$E$5:$E$15,MATCH(G33,Hallazgos!$A$5:$A$15,0))</f>
        <v>Liberación sin control</v>
      </c>
      <c r="I33" s="5" t="s">
        <v>124</v>
      </c>
      <c r="J33" s="5"/>
    </row>
    <row r="34" customFormat="false" ht="15" hidden="false" customHeight="false" outlineLevel="0" collapsed="false">
      <c r="A34" s="4" t="s">
        <v>255</v>
      </c>
      <c r="B34" s="5" t="s">
        <v>69</v>
      </c>
      <c r="C34" s="5" t="s">
        <v>256</v>
      </c>
      <c r="D34" s="5" t="s">
        <v>20</v>
      </c>
      <c r="E34" s="5" t="s">
        <v>21</v>
      </c>
      <c r="F34" s="5" t="s">
        <v>257</v>
      </c>
      <c r="G34" s="4" t="s">
        <v>68</v>
      </c>
      <c r="H34" s="5" t="str">
        <f aca="false">INDEX(Hallazgos!$E$5:$E$15,MATCH(G34,Hallazgos!$A$5:$A$15,0))</f>
        <v>Liberación sin control</v>
      </c>
      <c r="I34" s="5" t="s">
        <v>124</v>
      </c>
      <c r="J34" s="5"/>
    </row>
    <row r="35" customFormat="false" ht="23.85" hidden="false" customHeight="false" outlineLevel="0" collapsed="false">
      <c r="A35" s="4" t="s">
        <v>258</v>
      </c>
      <c r="B35" s="5" t="s">
        <v>69</v>
      </c>
      <c r="C35" s="5" t="s">
        <v>259</v>
      </c>
      <c r="D35" s="5" t="s">
        <v>20</v>
      </c>
      <c r="E35" s="5" t="s">
        <v>29</v>
      </c>
      <c r="F35" s="5" t="s">
        <v>260</v>
      </c>
      <c r="G35" s="4" t="s">
        <v>68</v>
      </c>
      <c r="H35" s="5" t="str">
        <f aca="false">INDEX(Hallazgos!$E$5:$E$15,MATCH(G35,Hallazgos!$A$5:$A$15,0))</f>
        <v>Liberación sin control</v>
      </c>
      <c r="I35" s="5" t="s">
        <v>124</v>
      </c>
      <c r="J35" s="5"/>
    </row>
    <row r="36" customFormat="false" ht="23.85" hidden="false" customHeight="false" outlineLevel="0" collapsed="false">
      <c r="A36" s="4" t="s">
        <v>261</v>
      </c>
      <c r="B36" s="5" t="s">
        <v>75</v>
      </c>
      <c r="C36" s="5" t="s">
        <v>262</v>
      </c>
      <c r="D36" s="5" t="s">
        <v>42</v>
      </c>
      <c r="E36" s="5" t="s">
        <v>43</v>
      </c>
      <c r="F36" s="5" t="s">
        <v>263</v>
      </c>
      <c r="G36" s="4" t="s">
        <v>74</v>
      </c>
      <c r="H36" s="5" t="str">
        <f aca="false">INDEX(Hallazgos!$E$5:$E$15,MATCH(G36,Hallazgos!$A$5:$A$15,0))</f>
        <v>Servicio sin control</v>
      </c>
      <c r="I36" s="5" t="s">
        <v>264</v>
      </c>
      <c r="J36" s="5" t="s">
        <v>265</v>
      </c>
    </row>
    <row r="37" customFormat="false" ht="15" hidden="false" customHeight="false" outlineLevel="0" collapsed="false">
      <c r="A37" s="4" t="s">
        <v>266</v>
      </c>
      <c r="B37" s="5" t="s">
        <v>75</v>
      </c>
      <c r="C37" s="5" t="s">
        <v>267</v>
      </c>
      <c r="D37" s="5" t="s">
        <v>42</v>
      </c>
      <c r="E37" s="5" t="s">
        <v>43</v>
      </c>
      <c r="F37" s="5" t="s">
        <v>268</v>
      </c>
      <c r="G37" s="4" t="s">
        <v>74</v>
      </c>
      <c r="H37" s="5" t="str">
        <f aca="false">INDEX(Hallazgos!$E$5:$E$15,MATCH(G37,Hallazgos!$A$5:$A$15,0))</f>
        <v>Servicio sin control</v>
      </c>
      <c r="I37" s="5" t="s">
        <v>269</v>
      </c>
      <c r="J37" s="5"/>
    </row>
    <row r="38" customFormat="false" ht="23.85" hidden="false" customHeight="false" outlineLevel="0" collapsed="false">
      <c r="A38" s="4" t="s">
        <v>270</v>
      </c>
      <c r="B38" s="5" t="s">
        <v>75</v>
      </c>
      <c r="C38" s="5" t="s">
        <v>271</v>
      </c>
      <c r="D38" s="5" t="s">
        <v>20</v>
      </c>
      <c r="E38" s="5" t="s">
        <v>29</v>
      </c>
      <c r="F38" s="5" t="s">
        <v>272</v>
      </c>
      <c r="G38" s="4" t="s">
        <v>81</v>
      </c>
      <c r="H38" s="5" t="str">
        <f aca="false">INDEX(Hallazgos!$E$5:$E$15,MATCH(G38,Hallazgos!$A$5:$A$15,0))</f>
        <v>Ciclo sin aprendizaje</v>
      </c>
      <c r="I38" s="5" t="s">
        <v>273</v>
      </c>
      <c r="J38" s="5"/>
    </row>
    <row r="39" customFormat="false" ht="23.85" hidden="false" customHeight="false" outlineLevel="0" collapsed="false">
      <c r="A39" s="4" t="s">
        <v>274</v>
      </c>
      <c r="B39" s="5" t="s">
        <v>75</v>
      </c>
      <c r="C39" s="5" t="s">
        <v>275</v>
      </c>
      <c r="D39" s="5" t="s">
        <v>20</v>
      </c>
      <c r="E39" s="5" t="s">
        <v>201</v>
      </c>
      <c r="F39" s="5" t="s">
        <v>276</v>
      </c>
      <c r="G39" s="4" t="s">
        <v>81</v>
      </c>
      <c r="H39" s="5" t="str">
        <f aca="false">INDEX(Hallazgos!$E$5:$E$15,MATCH(G39,Hallazgos!$A$5:$A$15,0))</f>
        <v>Ciclo sin aprendizaje</v>
      </c>
      <c r="I39" s="5" t="s">
        <v>203</v>
      </c>
      <c r="J39" s="5"/>
    </row>
  </sheetData>
  <autoFilter ref="A4:J39"/>
  <conditionalFormatting sqref="A5:J39">
    <cfRule type="expression" priority="2" aboveAverage="0" equalAverage="0" bottom="0" percent="0" rank="0" text="" dxfId="4">
      <formula>$D5="Oportunidad (ingreso expuesto)"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8" min="8" style="0" width="60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32"/>
  </cols>
  <sheetData>
    <row r="1" customFormat="false" ht="17.35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23.85" hidden="false" customHeight="false" outlineLevel="0" collapsed="false">
      <c r="A4" s="3" t="s">
        <v>137</v>
      </c>
      <c r="B4" s="3" t="s">
        <v>279</v>
      </c>
      <c r="C4" s="3" t="s">
        <v>280</v>
      </c>
      <c r="D4" s="3" t="s">
        <v>281</v>
      </c>
      <c r="E4" s="3" t="s">
        <v>282</v>
      </c>
      <c r="F4" s="3" t="s">
        <v>283</v>
      </c>
      <c r="G4" s="3" t="s">
        <v>91</v>
      </c>
      <c r="H4" s="3" t="s">
        <v>284</v>
      </c>
      <c r="I4" s="3" t="s">
        <v>139</v>
      </c>
      <c r="J4" s="3" t="s">
        <v>285</v>
      </c>
      <c r="K4" s="3" t="s">
        <v>14</v>
      </c>
    </row>
    <row r="5" customFormat="false" ht="23.85" hidden="false" customHeight="false" outlineLevel="0" collapsed="false">
      <c r="A5" s="4" t="s">
        <v>166</v>
      </c>
      <c r="B5" s="5" t="s">
        <v>286</v>
      </c>
      <c r="C5" s="4" t="s">
        <v>287</v>
      </c>
      <c r="D5" s="4"/>
      <c r="E5" s="4" t="s">
        <v>288</v>
      </c>
      <c r="F5" s="5" t="s">
        <v>289</v>
      </c>
      <c r="G5" s="5" t="s">
        <v>290</v>
      </c>
      <c r="H5" s="5" t="s">
        <v>291</v>
      </c>
      <c r="I5" s="4" t="s">
        <v>23</v>
      </c>
      <c r="J5" s="5" t="str">
        <f aca="false">INDEX(Palancas!$C$5:$C$12,MATCH(I5,Palancas!$A$5:$A$12,0))</f>
        <v>Gestión de la demanda</v>
      </c>
      <c r="K5" s="5"/>
    </row>
    <row r="6" customFormat="false" ht="23.85" hidden="false" customHeight="false" outlineLevel="0" collapsed="false">
      <c r="A6" s="4" t="s">
        <v>145</v>
      </c>
      <c r="B6" s="5" t="s">
        <v>292</v>
      </c>
      <c r="C6" s="4" t="s">
        <v>293</v>
      </c>
      <c r="D6" s="4"/>
      <c r="E6" s="4" t="s">
        <v>294</v>
      </c>
      <c r="F6" s="5" t="s">
        <v>142</v>
      </c>
      <c r="G6" s="5" t="s">
        <v>295</v>
      </c>
      <c r="H6" s="5" t="s">
        <v>296</v>
      </c>
      <c r="I6" s="4" t="s">
        <v>23</v>
      </c>
      <c r="J6" s="5" t="str">
        <f aca="false">INDEX(Palancas!$C$5:$C$12,MATCH(I6,Palancas!$A$5:$A$12,0))</f>
        <v>Gestión de la demanda</v>
      </c>
      <c r="K6" s="5"/>
    </row>
    <row r="7" customFormat="false" ht="15" hidden="false" customHeight="false" outlineLevel="0" collapsed="false">
      <c r="A7" s="4" t="s">
        <v>149</v>
      </c>
      <c r="B7" s="5" t="s">
        <v>297</v>
      </c>
      <c r="C7" s="4" t="s">
        <v>293</v>
      </c>
      <c r="D7" s="4"/>
      <c r="E7" s="4" t="s">
        <v>294</v>
      </c>
      <c r="F7" s="5" t="s">
        <v>146</v>
      </c>
      <c r="G7" s="5" t="s">
        <v>298</v>
      </c>
      <c r="H7" s="5" t="s">
        <v>299</v>
      </c>
      <c r="I7" s="4" t="s">
        <v>23</v>
      </c>
      <c r="J7" s="5" t="str">
        <f aca="false">INDEX(Palancas!$C$5:$C$12,MATCH(I7,Palancas!$A$5:$A$12,0))</f>
        <v>Gestión de la demanda</v>
      </c>
      <c r="K7" s="5"/>
    </row>
    <row r="8" customFormat="false" ht="15" hidden="false" customHeight="false" outlineLevel="0" collapsed="false">
      <c r="A8" s="4" t="s">
        <v>153</v>
      </c>
      <c r="B8" s="5" t="s">
        <v>300</v>
      </c>
      <c r="C8" s="4" t="s">
        <v>301</v>
      </c>
      <c r="D8" s="4"/>
      <c r="E8" s="4" t="s">
        <v>294</v>
      </c>
      <c r="F8" s="5" t="s">
        <v>150</v>
      </c>
      <c r="G8" s="5" t="s">
        <v>302</v>
      </c>
      <c r="H8" s="5" t="s">
        <v>303</v>
      </c>
      <c r="I8" s="4" t="s">
        <v>23</v>
      </c>
      <c r="J8" s="5" t="str">
        <f aca="false">INDEX(Palancas!$C$5:$C$12,MATCH(I8,Palancas!$A$5:$A$12,0))</f>
        <v>Gestión de la demanda</v>
      </c>
      <c r="K8" s="5"/>
    </row>
    <row r="9" customFormat="false" ht="23.85" hidden="false" customHeight="false" outlineLevel="0" collapsed="false">
      <c r="A9" s="4" t="s">
        <v>158</v>
      </c>
      <c r="B9" s="5" t="s">
        <v>304</v>
      </c>
      <c r="C9" s="4" t="s">
        <v>287</v>
      </c>
      <c r="D9" s="4"/>
      <c r="E9" s="4" t="s">
        <v>294</v>
      </c>
      <c r="F9" s="5" t="s">
        <v>305</v>
      </c>
      <c r="G9" s="5" t="s">
        <v>306</v>
      </c>
      <c r="H9" s="5" t="s">
        <v>307</v>
      </c>
      <c r="I9" s="4" t="s">
        <v>23</v>
      </c>
      <c r="J9" s="5" t="str">
        <f aca="false">INDEX(Palancas!$C$5:$C$12,MATCH(I9,Palancas!$A$5:$A$12,0))</f>
        <v>Gestión de la demanda</v>
      </c>
      <c r="K9" s="5"/>
    </row>
    <row r="10" customFormat="false" ht="23.85" hidden="false" customHeight="false" outlineLevel="0" collapsed="false">
      <c r="A10" s="4" t="s">
        <v>174</v>
      </c>
      <c r="B10" s="5" t="s">
        <v>308</v>
      </c>
      <c r="C10" s="4" t="s">
        <v>293</v>
      </c>
      <c r="D10" s="4"/>
      <c r="E10" s="4" t="s">
        <v>294</v>
      </c>
      <c r="F10" s="5" t="s">
        <v>309</v>
      </c>
      <c r="G10" s="5" t="s">
        <v>310</v>
      </c>
      <c r="H10" s="5" t="s">
        <v>311</v>
      </c>
      <c r="I10" s="4" t="s">
        <v>31</v>
      </c>
      <c r="J10" s="5" t="str">
        <f aca="false">INDEX(Palancas!$C$5:$C$12,MATCH(I10,Palancas!$A$5:$A$12,0))</f>
        <v>S&amp;OP y plan de capacidad</v>
      </c>
      <c r="K10" s="5"/>
    </row>
    <row r="11" customFormat="false" ht="23.85" hidden="false" customHeight="false" outlineLevel="0" collapsed="false">
      <c r="A11" s="4" t="s">
        <v>179</v>
      </c>
      <c r="B11" s="5" t="s">
        <v>312</v>
      </c>
      <c r="C11" s="4" t="s">
        <v>287</v>
      </c>
      <c r="D11" s="4"/>
      <c r="E11" s="4" t="s">
        <v>288</v>
      </c>
      <c r="F11" s="5" t="s">
        <v>176</v>
      </c>
      <c r="G11" s="5" t="s">
        <v>313</v>
      </c>
      <c r="H11" s="5" t="s">
        <v>314</v>
      </c>
      <c r="I11" s="4" t="s">
        <v>31</v>
      </c>
      <c r="J11" s="5" t="str">
        <f aca="false">INDEX(Palancas!$C$5:$C$12,MATCH(I11,Palancas!$A$5:$A$12,0))</f>
        <v>S&amp;OP y plan de capacidad</v>
      </c>
      <c r="K11" s="5"/>
    </row>
    <row r="12" customFormat="false" ht="23.85" hidden="false" customHeight="false" outlineLevel="0" collapsed="false">
      <c r="A12" s="4" t="s">
        <v>245</v>
      </c>
      <c r="B12" s="5" t="s">
        <v>315</v>
      </c>
      <c r="C12" s="4" t="s">
        <v>293</v>
      </c>
      <c r="D12" s="4"/>
      <c r="E12" s="4" t="s">
        <v>294</v>
      </c>
      <c r="F12" s="5" t="s">
        <v>243</v>
      </c>
      <c r="G12" s="5" t="s">
        <v>316</v>
      </c>
      <c r="H12" s="5" t="s">
        <v>317</v>
      </c>
      <c r="I12" s="4" t="s">
        <v>63</v>
      </c>
      <c r="J12" s="5" t="str">
        <f aca="false">INDEX(Palancas!$C$5:$C$12,MATCH(I12,Palancas!$A$5:$A$12,0))</f>
        <v>Programación estable y optimizada</v>
      </c>
      <c r="K12" s="5"/>
    </row>
    <row r="13" customFormat="false" ht="23.85" hidden="false" customHeight="false" outlineLevel="0" collapsed="false">
      <c r="A13" s="4" t="s">
        <v>105</v>
      </c>
      <c r="B13" s="5" t="s">
        <v>318</v>
      </c>
      <c r="C13" s="4" t="s">
        <v>293</v>
      </c>
      <c r="D13" s="4" t="s">
        <v>287</v>
      </c>
      <c r="E13" s="4" t="s">
        <v>294</v>
      </c>
      <c r="F13" s="5" t="s">
        <v>319</v>
      </c>
      <c r="G13" s="5" t="s">
        <v>320</v>
      </c>
      <c r="H13" s="5" t="s">
        <v>321</v>
      </c>
      <c r="I13" s="4" t="s">
        <v>37</v>
      </c>
      <c r="J13" s="5" t="str">
        <f aca="false">INDEX(Palancas!$C$5:$C$12,MATCH(I13,Palancas!$A$5:$A$12,0))</f>
        <v>Política de inventario por segmento</v>
      </c>
      <c r="K13" s="5"/>
    </row>
    <row r="14" customFormat="false" ht="23.85" hidden="false" customHeight="false" outlineLevel="0" collapsed="false">
      <c r="A14" s="4" t="s">
        <v>322</v>
      </c>
      <c r="B14" s="5" t="s">
        <v>323</v>
      </c>
      <c r="C14" s="4" t="s">
        <v>287</v>
      </c>
      <c r="D14" s="4"/>
      <c r="E14" s="4" t="s">
        <v>294</v>
      </c>
      <c r="F14" s="5" t="s">
        <v>191</v>
      </c>
      <c r="G14" s="5" t="s">
        <v>324</v>
      </c>
      <c r="H14" s="5" t="s">
        <v>325</v>
      </c>
      <c r="I14" s="4" t="s">
        <v>106</v>
      </c>
      <c r="J14" s="5" t="str">
        <f aca="false">INDEX(Palancas!$C$5:$C$12,MATCH(I14,Palancas!$A$5:$A$12,0))</f>
        <v>Promesa de fecha fiable</v>
      </c>
      <c r="K14" s="5"/>
    </row>
    <row r="15" customFormat="false" ht="23.85" hidden="false" customHeight="false" outlineLevel="0" collapsed="false">
      <c r="A15" s="4" t="s">
        <v>198</v>
      </c>
      <c r="B15" s="5" t="s">
        <v>326</v>
      </c>
      <c r="C15" s="4" t="s">
        <v>293</v>
      </c>
      <c r="D15" s="4"/>
      <c r="E15" s="4" t="s">
        <v>294</v>
      </c>
      <c r="F15" s="5" t="s">
        <v>195</v>
      </c>
      <c r="G15" s="5" t="s">
        <v>109</v>
      </c>
      <c r="H15" s="5" t="s">
        <v>327</v>
      </c>
      <c r="I15" s="4" t="s">
        <v>106</v>
      </c>
      <c r="J15" s="5" t="str">
        <f aca="false">INDEX(Palancas!$C$5:$C$12,MATCH(I15,Palancas!$A$5:$A$12,0))</f>
        <v>Promesa de fecha fiable</v>
      </c>
      <c r="K15" s="5"/>
    </row>
    <row r="16" customFormat="false" ht="23.85" hidden="false" customHeight="false" outlineLevel="0" collapsed="false">
      <c r="A16" s="4" t="s">
        <v>203</v>
      </c>
      <c r="B16" s="5" t="s">
        <v>328</v>
      </c>
      <c r="C16" s="4" t="s">
        <v>287</v>
      </c>
      <c r="D16" s="4"/>
      <c r="E16" s="4" t="s">
        <v>294</v>
      </c>
      <c r="F16" s="5" t="s">
        <v>329</v>
      </c>
      <c r="G16" s="5" t="s">
        <v>330</v>
      </c>
      <c r="H16" s="5" t="s">
        <v>331</v>
      </c>
      <c r="I16" s="4" t="s">
        <v>31</v>
      </c>
      <c r="J16" s="5" t="str">
        <f aca="false">INDEX(Palancas!$C$5:$C$12,MATCH(I16,Palancas!$A$5:$A$12,0))</f>
        <v>S&amp;OP y plan de capacidad</v>
      </c>
      <c r="K16" s="5" t="s">
        <v>332</v>
      </c>
    </row>
    <row r="17" customFormat="false" ht="15" hidden="false" customHeight="false" outlineLevel="0" collapsed="false">
      <c r="A17" s="4" t="s">
        <v>333</v>
      </c>
      <c r="B17" s="5" t="s">
        <v>334</v>
      </c>
      <c r="C17" s="4" t="s">
        <v>293</v>
      </c>
      <c r="D17" s="4"/>
      <c r="E17" s="4" t="s">
        <v>294</v>
      </c>
      <c r="F17" s="5" t="s">
        <v>205</v>
      </c>
      <c r="G17" s="5" t="s">
        <v>335</v>
      </c>
      <c r="H17" s="5" t="s">
        <v>336</v>
      </c>
      <c r="I17" s="4" t="s">
        <v>31</v>
      </c>
      <c r="J17" s="5" t="str">
        <f aca="false">INDEX(Palancas!$C$5:$C$12,MATCH(I17,Palancas!$A$5:$A$12,0))</f>
        <v>S&amp;OP y plan de capacidad</v>
      </c>
      <c r="K17" s="5"/>
    </row>
    <row r="18" customFormat="false" ht="15" hidden="false" customHeight="false" outlineLevel="0" collapsed="false">
      <c r="A18" s="4" t="s">
        <v>221</v>
      </c>
      <c r="B18" s="5" t="s">
        <v>337</v>
      </c>
      <c r="C18" s="4" t="s">
        <v>287</v>
      </c>
      <c r="D18" s="4"/>
      <c r="E18" s="4" t="s">
        <v>288</v>
      </c>
      <c r="F18" s="5" t="s">
        <v>218</v>
      </c>
      <c r="G18" s="5" t="s">
        <v>338</v>
      </c>
      <c r="H18" s="5" t="s">
        <v>339</v>
      </c>
      <c r="I18" s="4" t="s">
        <v>53</v>
      </c>
      <c r="J18" s="5" t="str">
        <f aca="false">INDEX(Palancas!$C$5:$C$12,MATCH(I18,Palancas!$A$5:$A$12,0))</f>
        <v>Planificación de materiales por excepción</v>
      </c>
      <c r="K18" s="5"/>
    </row>
    <row r="19" customFormat="false" ht="23.85" hidden="false" customHeight="false" outlineLevel="0" collapsed="false">
      <c r="A19" s="4" t="s">
        <v>213</v>
      </c>
      <c r="B19" s="5" t="s">
        <v>340</v>
      </c>
      <c r="C19" s="4" t="s">
        <v>301</v>
      </c>
      <c r="D19" s="4"/>
      <c r="E19" s="4" t="s">
        <v>294</v>
      </c>
      <c r="F19" s="5" t="s">
        <v>210</v>
      </c>
      <c r="G19" s="5" t="s">
        <v>341</v>
      </c>
      <c r="H19" s="5" t="s">
        <v>342</v>
      </c>
      <c r="I19" s="4" t="s">
        <v>53</v>
      </c>
      <c r="J19" s="5" t="str">
        <f aca="false">INDEX(Palancas!$C$5:$C$12,MATCH(I19,Palancas!$A$5:$A$12,0))</f>
        <v>Planificación de materiales por excepción</v>
      </c>
      <c r="K19" s="5"/>
    </row>
    <row r="20" customFormat="false" ht="23.85" hidden="false" customHeight="false" outlineLevel="0" collapsed="false">
      <c r="A20" s="4" t="s">
        <v>217</v>
      </c>
      <c r="B20" s="5" t="s">
        <v>343</v>
      </c>
      <c r="C20" s="4" t="s">
        <v>287</v>
      </c>
      <c r="D20" s="4"/>
      <c r="E20" s="4" t="s">
        <v>294</v>
      </c>
      <c r="F20" s="5" t="s">
        <v>344</v>
      </c>
      <c r="G20" s="5" t="s">
        <v>345</v>
      </c>
      <c r="H20" s="5" t="s">
        <v>346</v>
      </c>
      <c r="I20" s="4" t="s">
        <v>53</v>
      </c>
      <c r="J20" s="5" t="str">
        <f aca="false">INDEX(Palancas!$C$5:$C$12,MATCH(I20,Palancas!$A$5:$A$12,0))</f>
        <v>Planificación de materiales por excepción</v>
      </c>
      <c r="K20" s="5"/>
    </row>
    <row r="21" customFormat="false" ht="23.85" hidden="false" customHeight="false" outlineLevel="0" collapsed="false">
      <c r="A21" s="4" t="s">
        <v>228</v>
      </c>
      <c r="B21" s="5" t="s">
        <v>347</v>
      </c>
      <c r="C21" s="4" t="s">
        <v>348</v>
      </c>
      <c r="D21" s="4"/>
      <c r="E21" s="4" t="s">
        <v>294</v>
      </c>
      <c r="F21" s="5" t="s">
        <v>225</v>
      </c>
      <c r="G21" s="5" t="s">
        <v>349</v>
      </c>
      <c r="H21" s="5" t="s">
        <v>350</v>
      </c>
      <c r="I21" s="4" t="s">
        <v>53</v>
      </c>
      <c r="J21" s="5" t="str">
        <f aca="false">INDEX(Palancas!$C$5:$C$12,MATCH(I21,Palancas!$A$5:$A$12,0))</f>
        <v>Planificación de materiales por excepción</v>
      </c>
      <c r="K21" s="5"/>
    </row>
    <row r="22" customFormat="false" ht="23.85" hidden="false" customHeight="false" outlineLevel="0" collapsed="false">
      <c r="A22" s="4" t="s">
        <v>232</v>
      </c>
      <c r="B22" s="5" t="s">
        <v>351</v>
      </c>
      <c r="C22" s="4" t="s">
        <v>352</v>
      </c>
      <c r="D22" s="4"/>
      <c r="E22" s="4" t="s">
        <v>294</v>
      </c>
      <c r="F22" s="5" t="s">
        <v>229</v>
      </c>
      <c r="G22" s="5" t="s">
        <v>353</v>
      </c>
      <c r="H22" s="5" t="s">
        <v>354</v>
      </c>
      <c r="I22" s="4" t="s">
        <v>53</v>
      </c>
      <c r="J22" s="5" t="str">
        <f aca="false">INDEX(Palancas!$C$5:$C$12,MATCH(I22,Palancas!$A$5:$A$12,0))</f>
        <v>Planificación de materiales por excepción</v>
      </c>
      <c r="K22" s="5"/>
    </row>
    <row r="23" customFormat="false" ht="23.85" hidden="false" customHeight="false" outlineLevel="0" collapsed="false">
      <c r="A23" s="4" t="s">
        <v>239</v>
      </c>
      <c r="B23" s="5" t="s">
        <v>355</v>
      </c>
      <c r="C23" s="4" t="s">
        <v>352</v>
      </c>
      <c r="D23" s="4"/>
      <c r="E23" s="4" t="s">
        <v>288</v>
      </c>
      <c r="F23" s="5" t="s">
        <v>356</v>
      </c>
      <c r="G23" s="5" t="s">
        <v>357</v>
      </c>
      <c r="H23" s="5" t="s">
        <v>358</v>
      </c>
      <c r="I23" s="4" t="s">
        <v>63</v>
      </c>
      <c r="J23" s="5" t="str">
        <f aca="false">INDEX(Palancas!$C$5:$C$12,MATCH(I23,Palancas!$A$5:$A$12,0))</f>
        <v>Programación estable y optimizada</v>
      </c>
      <c r="K23" s="5"/>
    </row>
    <row r="24" customFormat="false" ht="23.85" hidden="false" customHeight="false" outlineLevel="0" collapsed="false">
      <c r="A24" s="4" t="s">
        <v>249</v>
      </c>
      <c r="B24" s="5" t="s">
        <v>359</v>
      </c>
      <c r="C24" s="4" t="s">
        <v>293</v>
      </c>
      <c r="D24" s="4"/>
      <c r="E24" s="4" t="s">
        <v>294</v>
      </c>
      <c r="F24" s="5" t="s">
        <v>246</v>
      </c>
      <c r="G24" s="5" t="s">
        <v>248</v>
      </c>
      <c r="H24" s="5" t="s">
        <v>360</v>
      </c>
      <c r="I24" s="4" t="s">
        <v>63</v>
      </c>
      <c r="J24" s="5" t="str">
        <f aca="false">INDEX(Palancas!$C$5:$C$12,MATCH(I24,Palancas!$A$5:$A$12,0))</f>
        <v>Programación estable y optimizada</v>
      </c>
      <c r="K24" s="5"/>
    </row>
    <row r="25" customFormat="false" ht="23.85" hidden="false" customHeight="false" outlineLevel="0" collapsed="false">
      <c r="A25" s="4" t="s">
        <v>124</v>
      </c>
      <c r="B25" s="5" t="s">
        <v>361</v>
      </c>
      <c r="C25" s="4" t="s">
        <v>287</v>
      </c>
      <c r="D25" s="4"/>
      <c r="E25" s="4" t="s">
        <v>294</v>
      </c>
      <c r="F25" s="5" t="s">
        <v>362</v>
      </c>
      <c r="G25" s="5" t="s">
        <v>123</v>
      </c>
      <c r="H25" s="5" t="s">
        <v>363</v>
      </c>
      <c r="I25" s="4" t="s">
        <v>73</v>
      </c>
      <c r="J25" s="5" t="str">
        <f aca="false">INDEX(Palancas!$C$5:$C$12,MATCH(I25,Palancas!$A$5:$A$12,0))</f>
        <v>Liberación controlada</v>
      </c>
      <c r="K25" s="5"/>
    </row>
    <row r="26" customFormat="false" ht="23.85" hidden="false" customHeight="false" outlineLevel="0" collapsed="false">
      <c r="A26" s="4" t="s">
        <v>264</v>
      </c>
      <c r="B26" s="5" t="s">
        <v>364</v>
      </c>
      <c r="C26" s="4" t="s">
        <v>287</v>
      </c>
      <c r="D26" s="4"/>
      <c r="E26" s="4" t="s">
        <v>294</v>
      </c>
      <c r="F26" s="5" t="s">
        <v>365</v>
      </c>
      <c r="G26" s="5" t="s">
        <v>366</v>
      </c>
      <c r="H26" s="5" t="s">
        <v>367</v>
      </c>
      <c r="I26" s="4" t="s">
        <v>79</v>
      </c>
      <c r="J26" s="5" t="str">
        <f aca="false">INDEX(Palancas!$C$5:$C$12,MATCH(I26,Palancas!$A$5:$A$12,0))</f>
        <v>Control del servicio y mejora continua</v>
      </c>
      <c r="K26" s="5"/>
    </row>
    <row r="27" customFormat="false" ht="23.85" hidden="false" customHeight="false" outlineLevel="0" collapsed="false">
      <c r="A27" s="4" t="s">
        <v>273</v>
      </c>
      <c r="B27" s="5" t="s">
        <v>368</v>
      </c>
      <c r="C27" s="4" t="s">
        <v>293</v>
      </c>
      <c r="D27" s="4"/>
      <c r="E27" s="4" t="s">
        <v>288</v>
      </c>
      <c r="F27" s="5" t="s">
        <v>369</v>
      </c>
      <c r="G27" s="5" t="s">
        <v>370</v>
      </c>
      <c r="H27" s="5" t="s">
        <v>371</v>
      </c>
      <c r="I27" s="4" t="s">
        <v>79</v>
      </c>
      <c r="J27" s="5" t="str">
        <f aca="false">INDEX(Palancas!$C$5:$C$12,MATCH(I27,Palancas!$A$5:$A$12,0))</f>
        <v>Control del servicio y mejora continua</v>
      </c>
      <c r="K27" s="5"/>
    </row>
    <row r="28" customFormat="false" ht="23.85" hidden="false" customHeight="false" outlineLevel="0" collapsed="false">
      <c r="A28" s="4" t="s">
        <v>372</v>
      </c>
      <c r="B28" s="5" t="s">
        <v>373</v>
      </c>
      <c r="C28" s="4" t="s">
        <v>374</v>
      </c>
      <c r="D28" s="4"/>
      <c r="E28" s="4" t="s">
        <v>294</v>
      </c>
      <c r="F28" s="5" t="s">
        <v>375</v>
      </c>
      <c r="G28" s="5" t="s">
        <v>376</v>
      </c>
      <c r="H28" s="5" t="s">
        <v>377</v>
      </c>
      <c r="I28" s="4" t="s">
        <v>106</v>
      </c>
      <c r="J28" s="5" t="str">
        <f aca="false">INDEX(Palancas!$C$5:$C$12,MATCH(I28,Palancas!$A$5:$A$12,0))</f>
        <v>Promesa de fecha fiable</v>
      </c>
      <c r="K28" s="5" t="s">
        <v>378</v>
      </c>
    </row>
  </sheetData>
  <autoFilter ref="A4:K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1"/>
    <col collapsed="false" customWidth="true" hidden="false" outlineLevel="0" max="4" min="4" style="0" width="58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2" t="s">
        <v>380</v>
      </c>
    </row>
    <row r="4" customFormat="false" ht="23.85" hidden="false" customHeight="false" outlineLevel="0" collapsed="false">
      <c r="A4" s="3" t="s">
        <v>2</v>
      </c>
      <c r="B4" s="3" t="s">
        <v>381</v>
      </c>
      <c r="C4" s="3" t="s">
        <v>382</v>
      </c>
      <c r="D4" s="3" t="s">
        <v>6</v>
      </c>
      <c r="E4" s="3" t="s">
        <v>8</v>
      </c>
      <c r="F4" s="3" t="s">
        <v>9</v>
      </c>
      <c r="G4" s="3" t="s">
        <v>10</v>
      </c>
      <c r="H4" s="3" t="s">
        <v>383</v>
      </c>
    </row>
    <row r="5" customFormat="false" ht="15" hidden="false" customHeight="false" outlineLevel="0" collapsed="false">
      <c r="A5" s="4" t="s">
        <v>384</v>
      </c>
      <c r="B5" s="4" t="s">
        <v>385</v>
      </c>
      <c r="C5" s="4" t="s">
        <v>16</v>
      </c>
      <c r="D5" s="5" t="s">
        <v>386</v>
      </c>
      <c r="E5" s="5" t="s">
        <v>20</v>
      </c>
      <c r="F5" s="5" t="s">
        <v>21</v>
      </c>
      <c r="G5" s="5" t="s">
        <v>387</v>
      </c>
      <c r="H5" s="5" t="s">
        <v>388</v>
      </c>
    </row>
    <row r="6" customFormat="false" ht="23.85" hidden="false" customHeight="false" outlineLevel="0" collapsed="false">
      <c r="A6" s="4" t="s">
        <v>389</v>
      </c>
      <c r="B6" s="4" t="s">
        <v>385</v>
      </c>
      <c r="C6" s="4" t="s">
        <v>16</v>
      </c>
      <c r="D6" s="5" t="s">
        <v>390</v>
      </c>
      <c r="E6" s="5" t="s">
        <v>20</v>
      </c>
      <c r="F6" s="5" t="s">
        <v>201</v>
      </c>
      <c r="G6" s="5" t="s">
        <v>391</v>
      </c>
      <c r="H6" s="5" t="s">
        <v>392</v>
      </c>
    </row>
    <row r="7" customFormat="false" ht="23.85" hidden="false" customHeight="false" outlineLevel="0" collapsed="false">
      <c r="A7" s="4" t="s">
        <v>393</v>
      </c>
      <c r="B7" s="4" t="s">
        <v>385</v>
      </c>
      <c r="C7" s="4" t="s">
        <v>16</v>
      </c>
      <c r="D7" s="5" t="s">
        <v>394</v>
      </c>
      <c r="E7" s="5" t="s">
        <v>20</v>
      </c>
      <c r="F7" s="5" t="s">
        <v>29</v>
      </c>
      <c r="G7" s="5" t="s">
        <v>395</v>
      </c>
      <c r="H7" s="5" t="s">
        <v>396</v>
      </c>
    </row>
    <row r="8" customFormat="false" ht="23.85" hidden="false" customHeight="false" outlineLevel="0" collapsed="false">
      <c r="A8" s="4" t="s">
        <v>397</v>
      </c>
      <c r="B8" s="4" t="s">
        <v>398</v>
      </c>
      <c r="C8" s="4" t="s">
        <v>16</v>
      </c>
      <c r="D8" s="5" t="s">
        <v>399</v>
      </c>
      <c r="E8" s="5" t="s">
        <v>20</v>
      </c>
      <c r="F8" s="5" t="s">
        <v>21</v>
      </c>
      <c r="G8" s="5" t="s">
        <v>400</v>
      </c>
      <c r="H8" s="5" t="s">
        <v>401</v>
      </c>
    </row>
    <row r="9" customFormat="false" ht="23.85" hidden="false" customHeight="false" outlineLevel="0" collapsed="false">
      <c r="A9" s="4" t="s">
        <v>402</v>
      </c>
      <c r="B9" s="4" t="s">
        <v>403</v>
      </c>
      <c r="C9" s="4" t="s">
        <v>16</v>
      </c>
      <c r="D9" s="5" t="s">
        <v>404</v>
      </c>
      <c r="E9" s="5" t="s">
        <v>20</v>
      </c>
      <c r="F9" s="5" t="s">
        <v>21</v>
      </c>
      <c r="G9" s="5" t="s">
        <v>405</v>
      </c>
      <c r="H9" s="5" t="s">
        <v>406</v>
      </c>
    </row>
  </sheetData>
  <autoFilter ref="A4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407</v>
      </c>
    </row>
    <row r="2" customFormat="false" ht="15" hidden="false" customHeight="false" outlineLevel="0" collapsed="false">
      <c r="A2" s="2" t="s">
        <v>408</v>
      </c>
    </row>
    <row r="4" customFormat="false" ht="15" hidden="false" customHeight="false" outlineLevel="0" collapsed="false">
      <c r="A4" s="3" t="s">
        <v>409</v>
      </c>
      <c r="B4" s="3" t="s">
        <v>410</v>
      </c>
      <c r="C4" s="3" t="s">
        <v>139</v>
      </c>
      <c r="D4" s="3" t="s">
        <v>140</v>
      </c>
      <c r="E4" s="3" t="s">
        <v>411</v>
      </c>
      <c r="F4" s="3" t="s">
        <v>412</v>
      </c>
    </row>
    <row r="5" customFormat="false" ht="15" hidden="false" customHeight="false" outlineLevel="0" collapsed="false">
      <c r="A5" s="4" t="n">
        <v>1</v>
      </c>
      <c r="B5" s="5" t="s">
        <v>413</v>
      </c>
      <c r="C5" s="4" t="s">
        <v>15</v>
      </c>
      <c r="D5" s="5" t="str">
        <f aca="false">IFERROR(INDEX(Hallazgos!$E$5:$E$15,MATCH(C5,Hallazgos!$A$5:$A$15,0)),INDEX('Otros procesos'!$D$5:$D$9,MATCH(C5,'Otros procesos'!$A$5:$A$9,0)))</f>
        <v>Demanda sin previsión fiable</v>
      </c>
      <c r="E5" s="4" t="s">
        <v>142</v>
      </c>
      <c r="F5" s="5"/>
    </row>
    <row r="6" customFormat="false" ht="15" hidden="false" customHeight="false" outlineLevel="0" collapsed="false">
      <c r="A6" s="4" t="n">
        <v>2</v>
      </c>
      <c r="B6" s="5" t="s">
        <v>414</v>
      </c>
      <c r="C6" s="4" t="s">
        <v>25</v>
      </c>
      <c r="D6" s="5" t="str">
        <f aca="false">IFERROR(INDEX(Hallazgos!$E$5:$E$15,MATCH(C6,Hallazgos!$A$5:$A$15,0)),INDEX('Otros procesos'!$D$5:$D$9,MATCH(C6,'Otros procesos'!$A$5:$A$9,0)))</f>
        <v>Demanda y capacidad sin equilibrar</v>
      </c>
      <c r="E6" s="4" t="s">
        <v>176</v>
      </c>
      <c r="F6" s="5" t="s">
        <v>415</v>
      </c>
    </row>
    <row r="7" customFormat="false" ht="15" hidden="false" customHeight="false" outlineLevel="0" collapsed="false">
      <c r="A7" s="4" t="n">
        <v>3</v>
      </c>
      <c r="B7" s="5" t="s">
        <v>416</v>
      </c>
      <c r="C7" s="4" t="s">
        <v>33</v>
      </c>
      <c r="D7" s="5" t="str">
        <f aca="false">IFERROR(INDEX(Hallazgos!$E$5:$E$15,MATCH(C7,Hallazgos!$A$5:$A$15,0)),INDEX('Otros procesos'!$D$5:$D$9,MATCH(C7,'Otros procesos'!$A$5:$A$9,0)))</f>
        <v>Stock sin política</v>
      </c>
      <c r="E7" s="4" t="s">
        <v>180</v>
      </c>
      <c r="F7" s="5"/>
    </row>
    <row r="8" customFormat="false" ht="15" hidden="false" customHeight="false" outlineLevel="0" collapsed="false">
      <c r="A8" s="4" t="n">
        <v>4</v>
      </c>
      <c r="B8" s="5" t="s">
        <v>417</v>
      </c>
      <c r="C8" s="4" t="s">
        <v>25</v>
      </c>
      <c r="D8" s="5" t="str">
        <f aca="false">IFERROR(INDEX(Hallazgos!$E$5:$E$15,MATCH(C8,Hallazgos!$A$5:$A$15,0)),INDEX('Otros procesos'!$D$5:$D$9,MATCH(C8,'Otros procesos'!$A$5:$A$9,0)))</f>
        <v>Demanda y capacidad sin equilibrar</v>
      </c>
      <c r="E8" s="4" t="s">
        <v>199</v>
      </c>
      <c r="F8" s="5" t="s">
        <v>415</v>
      </c>
    </row>
    <row r="9" customFormat="false" ht="15" hidden="false" customHeight="false" outlineLevel="0" collapsed="false">
      <c r="A9" s="4" t="n">
        <v>5</v>
      </c>
      <c r="B9" s="5" t="s">
        <v>418</v>
      </c>
      <c r="C9" s="4" t="s">
        <v>39</v>
      </c>
      <c r="D9" s="5" t="str">
        <f aca="false">IFERROR(INDEX(Hallazgos!$E$5:$E$15,MATCH(C9,Hallazgos!$A$5:$A$15,0)),INDEX('Otros procesos'!$D$5:$D$9,MATCH(C9,'Otros procesos'!$A$5:$A$9,0)))</f>
        <v>Fecha al cliente no fiable</v>
      </c>
      <c r="E9" s="4" t="s">
        <v>195</v>
      </c>
      <c r="F9" s="5" t="s">
        <v>419</v>
      </c>
    </row>
    <row r="10" customFormat="false" ht="23.85" hidden="false" customHeight="false" outlineLevel="0" collapsed="false">
      <c r="A10" s="4" t="n">
        <v>6</v>
      </c>
      <c r="B10" s="5" t="s">
        <v>420</v>
      </c>
      <c r="C10" s="4" t="s">
        <v>402</v>
      </c>
      <c r="D10" s="5" t="str">
        <f aca="false">IFERROR(INDEX(Hallazgos!$E$5:$E$15,MATCH(C10,Hallazgos!$A$5:$A$15,0)),INDEX('Otros procesos'!$D$5:$D$9,MATCH(C10,'Otros procesos'!$A$5:$A$9,0)))</f>
        <v>Cartera con errores (cantidades mayores que el pedido, fechas imposibles) y pedidos servidos sin saldar</v>
      </c>
      <c r="E10" s="4"/>
      <c r="F10" s="5" t="s">
        <v>421</v>
      </c>
    </row>
    <row r="11" customFormat="false" ht="15" hidden="false" customHeight="false" outlineLevel="0" collapsed="false">
      <c r="A11" s="4" t="n">
        <v>7</v>
      </c>
      <c r="B11" s="5" t="s">
        <v>422</v>
      </c>
      <c r="C11" s="4" t="s">
        <v>15</v>
      </c>
      <c r="D11" s="5" t="str">
        <f aca="false">IFERROR(INDEX(Hallazgos!$E$5:$E$15,MATCH(C11,Hallazgos!$A$5:$A$15,0)),INDEX('Otros procesos'!$D$5:$D$9,MATCH(C11,'Otros procesos'!$A$5:$A$9,0)))</f>
        <v>Demanda sin previsión fiable</v>
      </c>
      <c r="E11" s="4"/>
      <c r="F11" s="5" t="s">
        <v>423</v>
      </c>
    </row>
    <row r="12" customFormat="false" ht="15" hidden="false" customHeight="false" outlineLevel="0" collapsed="false">
      <c r="A12" s="4" t="n">
        <v>8</v>
      </c>
      <c r="B12" s="5" t="s">
        <v>424</v>
      </c>
      <c r="C12" s="4" t="s">
        <v>47</v>
      </c>
      <c r="D12" s="5" t="str">
        <f aca="false">IFERROR(INDEX(Hallazgos!$E$5:$E$15,MATCH(C12,Hallazgos!$A$5:$A$15,0)),INDEX('Otros procesos'!$D$5:$D$9,MATCH(C12,'Otros procesos'!$A$5:$A$9,0)))</f>
        <v>Faltas tardías y gestionadas a mano</v>
      </c>
      <c r="E12" s="4" t="s">
        <v>218</v>
      </c>
      <c r="F12" s="5"/>
    </row>
    <row r="13" customFormat="false" ht="15" hidden="false" customHeight="false" outlineLevel="0" collapsed="false">
      <c r="A13" s="4" t="n">
        <v>9</v>
      </c>
      <c r="B13" s="5" t="s">
        <v>425</v>
      </c>
      <c r="C13" s="4" t="s">
        <v>58</v>
      </c>
      <c r="D13" s="5" t="str">
        <f aca="false">IFERROR(INDEX(Hallazgos!$E$5:$E$15,MATCH(C13,Hallazgos!$A$5:$A$15,0)),INDEX('Otros procesos'!$D$5:$D$9,MATCH(C13,'Otros procesos'!$A$5:$A$9,0)))</f>
        <v>Secuencia sin optimizar</v>
      </c>
      <c r="E13" s="4" t="s">
        <v>236</v>
      </c>
      <c r="F13" s="5"/>
    </row>
    <row r="15" customFormat="false" ht="15" hidden="false" customHeight="false" outlineLevel="0" collapsed="false">
      <c r="A15" s="7" t="s">
        <v>11</v>
      </c>
    </row>
    <row r="16" customFormat="false" ht="15" hidden="false" customHeight="false" outlineLevel="0" collapsed="false">
      <c r="A16" s="3" t="s">
        <v>409</v>
      </c>
      <c r="B16" s="3" t="s">
        <v>426</v>
      </c>
      <c r="C16" s="3" t="s">
        <v>139</v>
      </c>
      <c r="D16" s="3" t="s">
        <v>285</v>
      </c>
      <c r="E16" s="3" t="s">
        <v>411</v>
      </c>
      <c r="F16" s="3" t="s">
        <v>412</v>
      </c>
    </row>
    <row r="17" customFormat="false" ht="15" hidden="false" customHeight="false" outlineLevel="0" collapsed="false">
      <c r="A17" s="4" t="s">
        <v>427</v>
      </c>
      <c r="B17" s="5" t="s">
        <v>428</v>
      </c>
      <c r="C17" s="4" t="s">
        <v>23</v>
      </c>
      <c r="D17" s="5" t="str">
        <f aca="false">IFERROR(INDEX(Palancas!$C$5:$C$12,MATCH(C17,Palancas!$A$5:$A$12,0)),INDEX('Otros procesos'!$H$5:$H$9,MATCH(C17,'Otros procesos'!$A$5:$A$9,0)))</f>
        <v>Gestión de la demanda</v>
      </c>
      <c r="E17" s="5" t="s">
        <v>429</v>
      </c>
      <c r="F17" s="5"/>
    </row>
    <row r="18" customFormat="false" ht="15" hidden="false" customHeight="false" outlineLevel="0" collapsed="false">
      <c r="A18" s="4" t="s">
        <v>430</v>
      </c>
      <c r="B18" s="5" t="s">
        <v>431</v>
      </c>
      <c r="C18" s="4" t="s">
        <v>31</v>
      </c>
      <c r="D18" s="5" t="str">
        <f aca="false">IFERROR(INDEX(Palancas!$C$5:$C$12,MATCH(C18,Palancas!$A$5:$A$12,0)),INDEX('Otros procesos'!$H$5:$H$9,MATCH(C18,'Otros procesos'!$A$5:$A$9,0)))</f>
        <v>S&amp;OP y plan de capacidad</v>
      </c>
      <c r="E18" s="5" t="s">
        <v>432</v>
      </c>
      <c r="F18" s="5"/>
    </row>
    <row r="19" customFormat="false" ht="15" hidden="false" customHeight="false" outlineLevel="0" collapsed="false">
      <c r="A19" s="4" t="s">
        <v>433</v>
      </c>
      <c r="B19" s="5" t="s">
        <v>434</v>
      </c>
      <c r="C19" s="4" t="s">
        <v>37</v>
      </c>
      <c r="D19" s="5" t="str">
        <f aca="false">IFERROR(INDEX(Palancas!$C$5:$C$12,MATCH(C19,Palancas!$A$5:$A$12,0)),INDEX('Otros procesos'!$H$5:$H$9,MATCH(C19,'Otros procesos'!$A$5:$A$9,0)))</f>
        <v>Política de inventario por segmento</v>
      </c>
      <c r="E19" s="5" t="s">
        <v>105</v>
      </c>
      <c r="F19" s="5"/>
    </row>
    <row r="20" customFormat="false" ht="15" hidden="false" customHeight="false" outlineLevel="0" collapsed="false">
      <c r="A20" s="4" t="s">
        <v>435</v>
      </c>
      <c r="B20" s="5" t="s">
        <v>436</v>
      </c>
      <c r="C20" s="4" t="s">
        <v>106</v>
      </c>
      <c r="D20" s="5" t="str">
        <f aca="false">IFERROR(INDEX(Palancas!$C$5:$C$12,MATCH(C20,Palancas!$A$5:$A$12,0)),INDEX('Otros procesos'!$H$5:$H$9,MATCH(C20,'Otros procesos'!$A$5:$A$9,0)))</f>
        <v>Promesa de fecha fiable</v>
      </c>
      <c r="E20" s="5" t="s">
        <v>437</v>
      </c>
      <c r="F20" s="5"/>
    </row>
    <row r="21" customFormat="false" ht="15" hidden="false" customHeight="false" outlineLevel="0" collapsed="false">
      <c r="A21" s="4" t="s">
        <v>438</v>
      </c>
      <c r="B21" s="5" t="s">
        <v>439</v>
      </c>
      <c r="C21" s="4" t="s">
        <v>402</v>
      </c>
      <c r="D21" s="5" t="str">
        <f aca="false">IFERROR(INDEX(Palancas!$C$5:$C$12,MATCH(C21,Palancas!$A$5:$A$12,0)),INDEX('Otros procesos'!$H$5:$H$9,MATCH(C21,'Otros procesos'!$A$5:$A$9,0)))</f>
        <v>Validación de cargas y saldado por regla</v>
      </c>
      <c r="E21" s="5"/>
      <c r="F21" s="5"/>
    </row>
    <row r="22" customFormat="false" ht="15" hidden="false" customHeight="false" outlineLevel="0" collapsed="false">
      <c r="A22" s="4" t="s">
        <v>440</v>
      </c>
      <c r="B22" s="5" t="s">
        <v>441</v>
      </c>
      <c r="C22" s="4" t="s">
        <v>53</v>
      </c>
      <c r="D22" s="5" t="str">
        <f aca="false">IFERROR(INDEX(Palancas!$C$5:$C$12,MATCH(C22,Palancas!$A$5:$A$12,0)),INDEX('Otros procesos'!$H$5:$H$9,MATCH(C22,'Otros procesos'!$A$5:$A$9,0)))</f>
        <v>Planificación de materiales por excepción</v>
      </c>
      <c r="E22" s="5" t="s">
        <v>442</v>
      </c>
      <c r="F22" s="5"/>
    </row>
    <row r="23" customFormat="false" ht="23.85" hidden="false" customHeight="false" outlineLevel="0" collapsed="false">
      <c r="A23" s="4" t="s">
        <v>443</v>
      </c>
      <c r="B23" s="5" t="s">
        <v>444</v>
      </c>
      <c r="C23" s="4" t="s">
        <v>63</v>
      </c>
      <c r="D23" s="5" t="str">
        <f aca="false">IFERROR(INDEX(Palancas!$C$5:$C$12,MATCH(C23,Palancas!$A$5:$A$12,0)),INDEX('Otros procesos'!$H$5:$H$9,MATCH(C23,'Otros procesos'!$A$5:$A$9,0)))</f>
        <v>Programación estable y optimizada</v>
      </c>
      <c r="E23" s="5" t="s">
        <v>445</v>
      </c>
      <c r="F2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2026-10-28T14:46:26Z</dcterms:created>
  <dc:creator>openpyxl</dc:creator>
  <dc:description/>
  <dc:language>en-US</dc:language>
  <cp:lastModifiedBy/>
  <dcterms:modified xsi:type="dcterms:W3CDTF">2026-10-28T14:46:26Z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