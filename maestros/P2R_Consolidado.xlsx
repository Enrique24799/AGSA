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ases" sheetId="1" state="visible" r:id="rId3"/>
    <sheet name="Personas" sheetId="2" state="visible" r:id="rId4"/>
    <sheet name="Dedicación" sheetId="3" state="visible" r:id="rId5"/>
    <sheet name="Hallazgos" sheetId="4" state="visible" r:id="rId6"/>
    <sheet name="Palancas" sheetId="5" state="visible" r:id="rId7"/>
    <sheet name="Ondupet" sheetId="6" state="visible" r:id="rId8"/>
    <sheet name="MGT" sheetId="7" state="visible" r:id="rId9"/>
    <sheet name="Ondupack Almendralejo" sheetId="8" state="visible" r:id="rId10"/>
    <sheet name="Fichas de hallazgo" sheetId="9" state="visible" r:id="rId11"/>
    <sheet name="Fichas de palanca" sheetId="10" state="visible" r:id="rId12"/>
    <sheet name="Interv. negocio y software" sheetId="11" state="visible" r:id="rId13"/>
    <sheet name="Interv. agentes" sheetId="12" state="visible" r:id="rId14"/>
  </sheets>
  <definedNames>
    <definedName function="false" hidden="true" localSheetId="2" name="_xlnm._FilterDatabase" vbProcedure="false">Dedicación!$A$4:$F$12</definedName>
    <definedName function="false" hidden="true" localSheetId="8" name="_xlnm._FilterDatabase" vbProcedure="false">'Fichas de hallazgo'!$A$4:$L$30</definedName>
    <definedName function="false" hidden="true" localSheetId="9" name="_xlnm._FilterDatabase" vbProcedure="false">'Fichas de palanca'!$A$4:$L$23</definedName>
    <definedName function="false" hidden="true" localSheetId="3" name="_xlnm._FilterDatabase" vbProcedure="false">Hallazgos!$A$4:$O$15</definedName>
    <definedName function="false" hidden="true" localSheetId="11" name="_xlnm._FilterDatabase" vbProcedure="false">'Interv. agentes'!$A$4:$Q$18</definedName>
    <definedName function="false" hidden="true" localSheetId="10" name="_xlnm._FilterDatabase" vbProcedure="false">'Interv. negocio y software'!$A$4:$K$36</definedName>
    <definedName function="false" hidden="true" localSheetId="4" name="_xlnm._FilterDatabase" vbProcedure="false">Palancas!$A$4:$M$12</definedName>
    <definedName function="false" hidden="true" localSheetId="1" name="_xlnm._FilterDatabase" vbProcedure="false">Personas!$A$4:$N$18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<sst xmlns="http://schemas.openxmlformats.org/spreadsheetml/2006/main" count="1814" uniqueCount="852">
  <si>
    <t xml:space="preserve">Esqueleto estándar · P2R · Plan to Release</t>
  </si>
  <si>
    <t xml:space="preserve">Transcrito de la aplicación el 29/10/2026. Repositorio: sin repositorio · 8 palancas lo usan · 0 con uno propio. Variantes de P2R: 0 (todas las celdas usan el esqueleto estándar).</t>
  </si>
  <si>
    <t xml:space="preserve">Orden</t>
  </si>
  <si>
    <t xml:space="preserve">Fase</t>
  </si>
  <si>
    <t xml:space="preserve">Tramo</t>
  </si>
  <si>
    <t xml:space="preserve">Descripción (de → a)</t>
  </si>
  <si>
    <t xml:space="preserve">Opcional</t>
  </si>
  <si>
    <t xml:space="preserve">Áreas de negocio</t>
  </si>
  <si>
    <t xml:space="preserve">Actividades</t>
  </si>
  <si>
    <t xml:space="preserve">Hallazgos del catálogo</t>
  </si>
  <si>
    <t xml:space="preserve">Palancas del catálogo</t>
  </si>
  <si>
    <t xml:space="preserve">Demanda y previsión (Forecast to Plan)</t>
  </si>
  <si>
    <t xml:space="preserve">Forecast to Plan</t>
  </si>
  <si>
    <t xml:space="preserve">De Histórico y Señal de Mercado --&gt; Demanda Consensuada</t>
  </si>
  <si>
    <t xml:space="preserve">—</t>
  </si>
  <si>
    <t xml:space="preserve">todas</t>
  </si>
  <si>
    <t xml:space="preserve">S&amp;OP y Plan Maestro (Forecast to Plan)</t>
  </si>
  <si>
    <t xml:space="preserve">De Demanda Global --&gt; Equilibrio Demanda, Capacidad y Recursos</t>
  </si>
  <si>
    <t xml:space="preserve">Necesidades de Fabricación y MRP</t>
  </si>
  <si>
    <t xml:space="preserve">Plan to Produce</t>
  </si>
  <si>
    <t xml:space="preserve">De Plan Maestro --&gt; Órdenes Previsionales de Fabricación y Solicitudes de Compra</t>
  </si>
  <si>
    <t xml:space="preserve">Programación</t>
  </si>
  <si>
    <t xml:space="preserve">De Orden Previsional --&gt; Secuencia por Línea y Turno</t>
  </si>
  <si>
    <t xml:space="preserve">Liberación</t>
  </si>
  <si>
    <t xml:space="preserve">De Orden Programada --&gt; Orden Liberada Ejecutable</t>
  </si>
  <si>
    <t xml:space="preserve">Seguimiento y Control</t>
  </si>
  <si>
    <t xml:space="preserve">De Plan Ejecutado --&gt; Desviaciones Explicadas con Acción</t>
  </si>
  <si>
    <t xml:space="preserve">Total</t>
  </si>
  <si>
    <t xml:space="preserve">Personas por empresa</t>
  </si>
  <si>
    <t xml:space="preserve">Transcrito de la aplicación el 29/10/2026 (área de negocio Packaging, 14 personas). Coste anual estimado. «Σ dedicación» es el dato de la aplicación; «Dedicación detallada» suma la hoja Dedicación.</t>
  </si>
  <si>
    <t xml:space="preserve">Persona</t>
  </si>
  <si>
    <t xml:space="preserve">ID</t>
  </si>
  <si>
    <t xml:space="preserve">Email</t>
  </si>
  <si>
    <t xml:space="preserve">Categoría</t>
  </si>
  <si>
    <t xml:space="preserve">Roles</t>
  </si>
  <si>
    <t xml:space="preserve">Censo en</t>
  </si>
  <si>
    <t xml:space="preserve">Área de negocio</t>
  </si>
  <si>
    <t xml:space="preserve">Jornada h/año</t>
  </si>
  <si>
    <t xml:space="preserve">Coste anual (k€)</t>
  </si>
  <si>
    <t xml:space="preserve">Σ Dedicación</t>
  </si>
  <si>
    <t xml:space="preserve">Coste imputado (k€)</t>
  </si>
  <si>
    <t xml:space="preserve">Dedicación detallada</t>
  </si>
  <si>
    <t xml:space="preserve">Sin detallar</t>
  </si>
  <si>
    <t xml:space="preserve">Licencias</t>
  </si>
  <si>
    <t xml:space="preserve">Victoriano Pérez Carrasco</t>
  </si>
  <si>
    <t xml:space="preserve">ID-20</t>
  </si>
  <si>
    <t xml:space="preserve">vperez@clgrupoindustrial.com</t>
  </si>
  <si>
    <t xml:space="preserve">Técnico especialista</t>
  </si>
  <si>
    <t xml:space="preserve">Planificación · Planificador de la producción</t>
  </si>
  <si>
    <t xml:space="preserve">Ondupet</t>
  </si>
  <si>
    <t xml:space="preserve">Packaging</t>
  </si>
  <si>
    <t xml:space="preserve">sin licencias</t>
  </si>
  <si>
    <t xml:space="preserve">Bárbara Ayuste Tejera</t>
  </si>
  <si>
    <t xml:space="preserve">ID-22</t>
  </si>
  <si>
    <t xml:space="preserve">bayuste@ondupet.es</t>
  </si>
  <si>
    <t xml:space="preserve">Administrativo</t>
  </si>
  <si>
    <t xml:space="preserve">Compras · Category Manager; Compras · Tramitadores de compras</t>
  </si>
  <si>
    <t xml:space="preserve">SAP ECC · usuario</t>
  </si>
  <si>
    <t xml:space="preserve">Manuel Jesús Trinidad Montero</t>
  </si>
  <si>
    <t xml:space="preserve">ID-24</t>
  </si>
  <si>
    <t xml:space="preserve">mjtrinidad@ondupet.es</t>
  </si>
  <si>
    <t xml:space="preserve">Responsable / mando intermedio</t>
  </si>
  <si>
    <t xml:space="preserve">Comercial · Comercial con potestad</t>
  </si>
  <si>
    <t xml:space="preserve">Monica Gordillo Guerrero</t>
  </si>
  <si>
    <t xml:space="preserve">ID-21</t>
  </si>
  <si>
    <t xml:space="preserve">mgordillo@ondupet.es</t>
  </si>
  <si>
    <t xml:space="preserve">Comercial · Comercial con potestad; Comercial · Administración de ventas</t>
  </si>
  <si>
    <t xml:space="preserve">Antonio Nogales Carrión</t>
  </si>
  <si>
    <t xml:space="preserve">ID-23</t>
  </si>
  <si>
    <t xml:space="preserve">anogales@ondupet.es</t>
  </si>
  <si>
    <t xml:space="preserve">Miguel Ángel Rosado Martínez</t>
  </si>
  <si>
    <t xml:space="preserve">sin ID</t>
  </si>
  <si>
    <t xml:space="preserve">planificacion@ondupack.com</t>
  </si>
  <si>
    <t xml:space="preserve">Planificación · Planificador de la producción; Logística · Responsable Expediciones</t>
  </si>
  <si>
    <t xml:space="preserve">Ondupack</t>
  </si>
  <si>
    <t xml:space="preserve">Cartón</t>
  </si>
  <si>
    <t xml:space="preserve">Tomás Buenavida Santiago</t>
  </si>
  <si>
    <t xml:space="preserve">tbuenavida@ondupack.com</t>
  </si>
  <si>
    <t xml:space="preserve">Maria Teresa Espinosa Paredes</t>
  </si>
  <si>
    <t xml:space="preserve">tere_att@ondupack.com</t>
  </si>
  <si>
    <t xml:space="preserve">Comercial</t>
  </si>
  <si>
    <t xml:space="preserve">José María Baquero Jaen</t>
  </si>
  <si>
    <t xml:space="preserve">jbaquero@ondupack.com</t>
  </si>
  <si>
    <t xml:space="preserve">Producción · Responsable Producción</t>
  </si>
  <si>
    <t xml:space="preserve">Angélica Lemus Fernández</t>
  </si>
  <si>
    <t xml:space="preserve">alemus@ondupack.com</t>
  </si>
  <si>
    <t xml:space="preserve">Compras · Category Manager</t>
  </si>
  <si>
    <t xml:space="preserve">Karim Karach Boujtat</t>
  </si>
  <si>
    <t xml:space="preserve">kkarach@ondupack.com</t>
  </si>
  <si>
    <t xml:space="preserve">Navalmoral</t>
  </si>
  <si>
    <t xml:space="preserve">Joan Carles Girones Campaña</t>
  </si>
  <si>
    <t xml:space="preserve">jc.girones@matiasgomatomas.com</t>
  </si>
  <si>
    <t xml:space="preserve">MGT</t>
  </si>
  <si>
    <t xml:space="preserve">Papel</t>
  </si>
  <si>
    <t xml:space="preserve">Marta Boyo Martinez</t>
  </si>
  <si>
    <t xml:space="preserve">m.boyo@matiasgomatomas.com</t>
  </si>
  <si>
    <t xml:space="preserve">Albert Fontanet Lopez</t>
  </si>
  <si>
    <t xml:space="preserve">a.fontanet@matiasgomatomas.com</t>
  </si>
  <si>
    <t xml:space="preserve">Σ 14 personas</t>
  </si>
  <si>
    <t xml:space="preserve">Dedicación por celda y fase</t>
  </si>
  <si>
    <t xml:space="preserve">Una fila por persona, celda (proceso × empresa) y fase. Por ahora solo está el detalle de P2R × Ondupet.</t>
  </si>
  <si>
    <t xml:space="preserve">Celda</t>
  </si>
  <si>
    <t xml:space="preserve">% dedicación</t>
  </si>
  <si>
    <t xml:space="preserve">P2R × Ondupet</t>
  </si>
  <si>
    <t xml:space="preserve">Resumen por celda</t>
  </si>
  <si>
    <t xml:space="preserve">Personas</t>
  </si>
  <si>
    <t xml:space="preserve">P2R × Ondupack</t>
  </si>
  <si>
    <t xml:space="preserve">P2R × MGT</t>
  </si>
  <si>
    <t xml:space="preserve">Catálogo de tipos de hallazgo · P2R</t>
  </si>
  <si>
    <t xml:space="preserve">Transcrito de la aplicación el 29/10/2026 (11 tipos). Descripción, métrica, KPI y fórmula del maestro; en la fórmula, valor y obj son los tokens de la aplicación y las constantes son de ejemplo. «Empresas» se calcula con las columnas de cada empresa.</t>
  </si>
  <si>
    <t xml:space="preserve">Nombre</t>
  </si>
  <si>
    <t xml:space="preserve">Descripción</t>
  </si>
  <si>
    <t xml:space="preserve">Familia</t>
  </si>
  <si>
    <t xml:space="preserve">Naturaleza</t>
  </si>
  <si>
    <t xml:space="preserve">Métrica (volumen expuesto)</t>
  </si>
  <si>
    <t xml:space="preserve">KPI sugerido</t>
  </si>
  <si>
    <t xml:space="preserve">Fórmula sugerida (€/año)</t>
  </si>
  <si>
    <t xml:space="preserve">Se cura con</t>
  </si>
  <si>
    <t xml:space="preserve">Empresas</t>
  </si>
  <si>
    <t xml:space="preserve">Caza inversa</t>
  </si>
  <si>
    <t xml:space="preserve">HT-P2R-01</t>
  </si>
  <si>
    <t xml:space="preserve">Demanda sin previsión fiable</t>
  </si>
  <si>
    <t xml:space="preserve">No hay previsión, o la que hay no se cierra, no se consensúa ni se mide: el plan trabaja con una demanda que cambia o que no se conoce, y la demanda perdida no se registra.</t>
  </si>
  <si>
    <t xml:space="preserve">Ineficiencia</t>
  </si>
  <si>
    <t xml:space="preserve">Circulante</t>
  </si>
  <si>
    <t xml:space="preserve">€ de demanda mensual planificada sin previsión cerrada y consensuada</t>
  </si>
  <si>
    <t xml:space="preserve">Precisión de la previsión (1 − WMAPE, %) ↑</t>
  </si>
  <si>
    <t xml:space="preserve">(obj-valor)/100*2000000*0.08</t>
  </si>
  <si>
    <t xml:space="preserve">P2R-01</t>
  </si>
  <si>
    <t xml:space="preserve">✓</t>
  </si>
  <si>
    <t xml:space="preserve">HT-P2R-03</t>
  </si>
  <si>
    <t xml:space="preserve">Demanda y capacidad sin equilibrar</t>
  </si>
  <si>
    <t xml:space="preserve">Sin S&amp;OP, la capacidad (turnos, reservas, intercompany) se decide por intuición y a mano, y el desequilibrio se arregla con urgencias.</t>
  </si>
  <si>
    <t xml:space="preserve">Transformación</t>
  </si>
  <si>
    <t xml:space="preserve">Horas de línea y turnos no ajustados a la carga / mes</t>
  </si>
  <si>
    <t xml:space="preserve">Horas de turno no ajustadas a la carga (h/mes) ↓</t>
  </si>
  <si>
    <t xml:space="preserve">(valor-obj)*12*150</t>
  </si>
  <si>
    <t xml:space="preserve">P2R-02</t>
  </si>
  <si>
    <t xml:space="preserve">HT-P2R-04</t>
  </si>
  <si>
    <t xml:space="preserve">Stock sin política clara</t>
  </si>
  <si>
    <t xml:space="preserve">Sin segmentación ni estrategia por material, sobra stock de unos y falta de otros, en producto terminado y en materias primas.</t>
  </si>
  <si>
    <t xml:space="preserve">€ de stock fuera de política (exceso y obsoleto)</t>
  </si>
  <si>
    <t xml:space="preserve">Cobertura de producto terminado (días) ↓</t>
  </si>
  <si>
    <t xml:space="preserve">(valor-obj)*20000*0.08</t>
  </si>
  <si>
    <t xml:space="preserve">P2R-03</t>
  </si>
  <si>
    <t xml:space="preserve">HT-P2R-05</t>
  </si>
  <si>
    <t xml:space="preserve">Fecha al cliente no fiable</t>
  </si>
  <si>
    <t xml:space="preserve">La fecha se promete sin comprobar disponibilidad, no se renegocia cuando no se llega y hay roturas en lo que debería estar en stock.</t>
  </si>
  <si>
    <t xml:space="preserve">Oportunidad</t>
  </si>
  <si>
    <t xml:space="preserve">€ de pedidos / mes entregados tarde o no servidos</t>
  </si>
  <si>
    <t xml:space="preserve">Pedidos entregados en la primera fecha confirmada (%) ↑</t>
  </si>
  <si>
    <t xml:space="preserve">(obj-valor)/100*10000000</t>
  </si>
  <si>
    <t xml:space="preserve">P2R-03, P2R-04</t>
  </si>
  <si>
    <t xml:space="preserve">HT-P2R-06</t>
  </si>
  <si>
    <t xml:space="preserve">Faltas tardías y gestionadas a mano</t>
  </si>
  <si>
    <t xml:space="preserve">El MRP corre con poca frecuencia, las faltas se revisan todas a mano y acaban en compras y transportes urgentes.</t>
  </si>
  <si>
    <t xml:space="preserve">Fuga de P&amp;L</t>
  </si>
  <si>
    <t xml:space="preserve">€ de sobrecoste urgente por faltas / mes</t>
  </si>
  <si>
    <t xml:space="preserve">Compras y transportes urgentes por faltas (nº/mes) ↓</t>
  </si>
  <si>
    <t xml:space="preserve">(valor-obj)*12*400</t>
  </si>
  <si>
    <t xml:space="preserve">P2R-05</t>
  </si>
  <si>
    <t xml:space="preserve">HT-P2R-07</t>
  </si>
  <si>
    <t xml:space="preserve">Necesidades poco fiables</t>
  </si>
  <si>
    <t xml:space="preserve">Parámetros desactualizados, producto terminado y semielaborado sin sincronizar y agrupación de lotes a mano.</t>
  </si>
  <si>
    <t xml:space="preserve">€ de stock de semielaborado y materia prima por encima de la necesidad</t>
  </si>
  <si>
    <t xml:space="preserve">Cobertura de materias primas y semielaborado (días) ↓</t>
  </si>
  <si>
    <t xml:space="preserve">(valor-obj)*8000*0.08</t>
  </si>
  <si>
    <t xml:space="preserve">HT-P2R-08</t>
  </si>
  <si>
    <t xml:space="preserve">Secuencia sin optimizar</t>
  </si>
  <si>
    <t xml:space="preserve">Se secuencia a mano, sin capacidad finita y con la ruta por defecto.</t>
  </si>
  <si>
    <t xml:space="preserve">Horas de cambio y de sobrecarga / semana</t>
  </si>
  <si>
    <t xml:space="preserve">Horas de cambio (h/semana) ↓</t>
  </si>
  <si>
    <t xml:space="preserve">(valor-obj)*52*150</t>
  </si>
  <si>
    <t xml:space="preserve">P2R-06</t>
  </si>
  <si>
    <t xml:space="preserve">HT-P2R-09</t>
  </si>
  <si>
    <t xml:space="preserve">Programa inestable</t>
  </si>
  <si>
    <t xml:space="preserve">Sin zona congelada ni reglas de prioridad, las urgencias obligan a resecuenciar.</t>
  </si>
  <si>
    <t xml:space="preserve">Resecuenciaciones / semana</t>
  </si>
  <si>
    <t xml:space="preserve">Resecuenciaciones dentro de la zona congelada (nº/semana) ↓</t>
  </si>
  <si>
    <t xml:space="preserve">(valor-obj)*52*0.5*150</t>
  </si>
  <si>
    <t xml:space="preserve">HT-P2R-10</t>
  </si>
  <si>
    <t xml:space="preserve">Liberación sin control</t>
  </si>
  <si>
    <t xml:space="preserve">Se libera sin confirmar material, utillaje y aprovisionamiento a línea, y sin ventana de liberación.</t>
  </si>
  <si>
    <t xml:space="preserve">Arranques fallidos / mes</t>
  </si>
  <si>
    <t xml:space="preserve">Arranques fallidos (nº/mes) ↓</t>
  </si>
  <si>
    <t xml:space="preserve">(valor-obj)*12*2*150</t>
  </si>
  <si>
    <t xml:space="preserve">P2R-07</t>
  </si>
  <si>
    <t xml:space="preserve">HT-P2R-11</t>
  </si>
  <si>
    <t xml:space="preserve">Servicio sin control</t>
  </si>
  <si>
    <t xml:space="preserve">No hay KPIs formales de servicio ni de adherencia al programa, y los atrasos se ven cuando ya han ocurrido.</t>
  </si>
  <si>
    <t xml:space="preserve">€ de pedidos atrasados sin aviso / mes</t>
  </si>
  <si>
    <t xml:space="preserve">OTIF a fecha confirmada (%) ↑</t>
  </si>
  <si>
    <t xml:space="preserve">P2R-08</t>
  </si>
  <si>
    <t xml:space="preserve">HT-P2R-12</t>
  </si>
  <si>
    <t xml:space="preserve">Ciclo sin aprendizaje</t>
  </si>
  <si>
    <t xml:space="preserve">Las desviaciones no tienen análisis de causa ni vuelven a la previsión ni a los parámetros, y el seguimiento se hace a mano.</t>
  </si>
  <si>
    <t xml:space="preserve">Desviaciones repetidas sin causa / mes</t>
  </si>
  <si>
    <t xml:space="preserve">Desviaciones repetidas sin causa (nº/mes) ↓</t>
  </si>
  <si>
    <t xml:space="preserve">(valor-obj)*12*1*150</t>
  </si>
  <si>
    <t xml:space="preserve">Catálogo de palancas · P2R</t>
  </si>
  <si>
    <t xml:space="preserve">Transcrito de la aplicación el 29/10/2026 (8 palancas). €/año de referencia: vacío (el € sale de cada empresa) · confianza: por cuantificar. «Qué cambia», KPI y base expuesta del maestro.</t>
  </si>
  <si>
    <t xml:space="preserve">Código</t>
  </si>
  <si>
    <t xml:space="preserve">Palanca</t>
  </si>
  <si>
    <t xml:space="preserve">Qué cambia</t>
  </si>
  <si>
    <t xml:space="preserve">KPI</t>
  </si>
  <si>
    <t xml:space="preserve">Base expuesta</t>
  </si>
  <si>
    <t xml:space="preserve">Fase as-is</t>
  </si>
  <si>
    <t xml:space="preserve">€/año ref.</t>
  </si>
  <si>
    <t xml:space="preserve">Confianza</t>
  </si>
  <si>
    <t xml:space="preserve">Cura tipos</t>
  </si>
  <si>
    <t xml:space="preserve">Aplicada en</t>
  </si>
  <si>
    <t xml:space="preserve">Gestión de la demanda</t>
  </si>
  <si>
    <t xml:space="preserve">Hay previsión, al menos de la demanda repetitiva; se cierra en fecha, se consensúa cada mes entre Comercial y Planificación, cubre el horizonte de las decisiones y se mide y corrige.</t>
  </si>
  <si>
    <t xml:space="preserve">Precisión y sesgo por familia · cambios tras el cierre</t>
  </si>
  <si>
    <t xml:space="preserve">€ de stock medio de producto terminado expuesto al error de previsión</t>
  </si>
  <si>
    <t xml:space="preserve">Por cuantificar</t>
  </si>
  <si>
    <t xml:space="preserve">S&amp;OP y plan de capacidad</t>
  </si>
  <si>
    <t xml:space="preserve">Demanda y capacidad se equilibran cada mes, con datos y con dirección: turnos, reservas de capacidad e intercompany se deciden con escenarios, no con urgencias.</t>
  </si>
  <si>
    <t xml:space="preserve">Ocupación real frente a planificada · horas extra no planificadas</t>
  </si>
  <si>
    <t xml:space="preserve">Horas de línea / año de turnos no ajustados a la carga</t>
  </si>
  <si>
    <t xml:space="preserve">Política de inventario por segmento</t>
  </si>
  <si>
    <t xml:space="preserve">Cada material, de producto terminado y de materia prima, tiene segmento, estrategia y stock objetivo, revisados periódicamente.</t>
  </si>
  <si>
    <t xml:space="preserve">€ de stock fuera de política · roturas</t>
  </si>
  <si>
    <t xml:space="preserve">€ de stock de producto terminado por encima de la cobertura objetivo</t>
  </si>
  <si>
    <t xml:space="preserve">HT-P2R-04, HT-P2R-05 (×2)</t>
  </si>
  <si>
    <t xml:space="preserve">P2R-04</t>
  </si>
  <si>
    <t xml:space="preserve">Promesa de fecha fiable</t>
  </si>
  <si>
    <t xml:space="preserve">La fecha al cliente se confirma con disponibilidad real y se renegocia en cuanto se sabe que no se llega.</t>
  </si>
  <si>
    <t xml:space="preserve">OTIF a fecha confirmada</t>
  </si>
  <si>
    <t xml:space="preserve">€ de ventas / año en pedidos no entregados en la primera fecha confirmada</t>
  </si>
  <si>
    <t xml:space="preserve">HT-P2R-05 (×2)</t>
  </si>
  <si>
    <t xml:space="preserve">Planificación de materiales por excepción</t>
  </si>
  <si>
    <t xml:space="preserve">Las necesidades se calculan a tiempo, con parámetros vigentes y en todos los niveles, y el planificador solo atiende las excepciones críticas.</t>
  </si>
  <si>
    <t xml:space="preserve">€ urgentes por faltas · faltas detectadas a tiempo</t>
  </si>
  <si>
    <t xml:space="preserve">€ / año de compras y transportes urgentes por faltas · € de stock de materias primas y semielaborado por encima de la cobertura objetivo</t>
  </si>
  <si>
    <t xml:space="preserve">HT-P2R-06, HT-P2R-07</t>
  </si>
  <si>
    <t xml:space="preserve">Programación estable y optimizada</t>
  </si>
  <si>
    <t xml:space="preserve">El programa respeta la capacidad, minimiza los cambios y solo se modifica dentro de reglas: zona congelada y prioridades.</t>
  </si>
  <si>
    <t xml:space="preserve">Horas de cambio · adherencia al programa</t>
  </si>
  <si>
    <t xml:space="preserve">Horas de línea / año en cambios y resecuenciaciones evitables</t>
  </si>
  <si>
    <t xml:space="preserve">HT-P2R-08, HT-P2R-09</t>
  </si>
  <si>
    <t xml:space="preserve">Liberación controlada</t>
  </si>
  <si>
    <t xml:space="preserve">Una orden solo se libera con material, utillaje y aprovisionamiento a línea confirmados, y dentro de su ventana.</t>
  </si>
  <si>
    <t xml:space="preserve">Arranques fallidos</t>
  </si>
  <si>
    <t xml:space="preserve">Horas de línea / año perdidas en arranques fallidos</t>
  </si>
  <si>
    <t xml:space="preserve">Control del servicio y mejora continua</t>
  </si>
  <si>
    <t xml:space="preserve">Servicio y adherencia se miden solos, los riesgos se avisan antes y cada desviación tiene causa y una acción que vuelve a la planificación.</t>
  </si>
  <si>
    <t xml:space="preserve">OTIF · desviaciones con causa</t>
  </si>
  <si>
    <t xml:space="preserve">€ de ventas / año en pedidos fuera de OTIF · horas de línea / año perdidas en desviaciones repetidas</t>
  </si>
  <si>
    <t xml:space="preserve">HT-P2R-11, HT-P2R-12</t>
  </si>
  <si>
    <t xml:space="preserve">P2R × Ondupet · hallazgos, palancas e intervenciones</t>
  </si>
  <si>
    <t xml:space="preserve">Process owner: celda sin activar. Capacidad liberada que calcula la aplicación: 17,4 k€.</t>
  </si>
  <si>
    <t xml:space="preserve">Hallazgos</t>
  </si>
  <si>
    <t xml:space="preserve">Palancas</t>
  </si>
  <si>
    <t xml:space="preserve">Intervenciones</t>
  </si>
  <si>
    <t xml:space="preserve">De ellas, agentes</t>
  </si>
  <si>
    <t xml:space="preserve">Capacidad (est.)</t>
  </si>
  <si>
    <t xml:space="preserve">Hallazgo</t>
  </si>
  <si>
    <t xml:space="preserve">Familia · naturaleza</t>
  </si>
  <si>
    <t xml:space="preserve">Anclaje (actividad · fase)</t>
  </si>
  <si>
    <t xml:space="preserve">Descripción del hallazgo</t>
  </si>
  <si>
    <t xml:space="preserve">Intervención</t>
  </si>
  <si>
    <t xml:space="preserve">De qué es</t>
  </si>
  <si>
    <t xml:space="preserve">Qué hay que hacer</t>
  </si>
  <si>
    <t xml:space="preserve">Caja que cambia</t>
  </si>
  <si>
    <t xml:space="preserve">P2R-01
Gestión de la demanda</t>
  </si>
  <si>
    <t xml:space="preserve">INF-10
HT-P2R-01 · Demanda sin previsión fiable</t>
  </si>
  <si>
    <t xml:space="preserve">Ineficiencia · Circulante</t>
  </si>
  <si>
    <t xml:space="preserve">Previsión y Precisión · Demanda y previsión</t>
  </si>
  <si>
    <t xml:space="preserve">Previsión inestable: Comercial modifica la previsión a comienzo de mes, incluso con el material ya fabricado, sin comunicación formal ni cierre ni consenso, y nadie responde del stock que queda fabricado.</t>
  </si>
  <si>
    <t xml:space="preserve">ACC-01 · Calendario de previsión con día de cierre</t>
  </si>
  <si>
    <t xml:space="preserve">negocio</t>
  </si>
  <si>
    <t xml:space="preserve">Fijar un día de cierre mensual de la previsión y congelar el mes en curso. Después del cierre, cualquier cambio necesita la aprobación de Planificación y queda registrado con su motivo. Publicar el calendario del año.</t>
  </si>
  <si>
    <t xml:space="preserve">no cambia caja</t>
  </si>
  <si>
    <t xml:space="preserve">INF-16
HT-P2R-01 · Demanda sin previsión fiable</t>
  </si>
  <si>
    <t xml:space="preserve">Previsión sin medición ni aprendizaje: la reunión mensual de accuracy existe pero no genera acciones, hay desviaciones grandes sin causa ni corrección y los agotados se registran de forma irregular.</t>
  </si>
  <si>
    <t xml:space="preserve">ACC-02 · Registro diario de agotados</t>
  </si>
  <si>
    <t xml:space="preserve">Definir qué es un agotado y qué es un pedido rechazado, y registrarlos cada día en el sistema con su motivo, para que el histórico de demanda deje de estar distorsionado.</t>
  </si>
  <si>
    <t xml:space="preserve">INT-01 · Análisis de las desviaciones de la demanda</t>
  </si>
  <si>
    <t xml:space="preserve">agente</t>
  </si>
  <si>
    <t xml:space="preserve">Cada mes analiza las familias fuera de umbral, explica la causa probable (agotado, pedido puntual, cliente nuevo, cambio de Comercial) y propone la corrección de los meses siguientes. Planificación y Comercial la aprueban en la reunión de consenso.</t>
  </si>
  <si>
    <t xml:space="preserve">Previsión y Precisión</t>
  </si>
  <si>
    <t xml:space="preserve">P2R-02
S&amp;OP y plan de capacidad</t>
  </si>
  <si>
    <t xml:space="preserve">INF-11
HT-P2R-03 · Demanda y capacidad sin equilibrar</t>
  </si>
  <si>
    <t xml:space="preserve">Ineficiencia · Transformación</t>
  </si>
  <si>
    <t xml:space="preserve">Plan Maestro · S&amp;OP y Plan Maestro</t>
  </si>
  <si>
    <t xml:space="preserve">Las necesidades se cargan sin comprobar la capacidad de extrusión y termoformado ni balancear entre líneas, y los temporales se calculan a mano.</t>
  </si>
  <si>
    <t xml:space="preserve">ACC-03 · Cálculo de % de saturación</t>
  </si>
  <si>
    <t xml:space="preserve">software</t>
  </si>
  <si>
    <t xml:space="preserve">Al cerrar la previsión, el sistema calcula el % de saturación de cada línea de extrusión y termoformado (previsión × rutas × tiempos de ciclo frente al calendario) y marca las que pasan del umbral.</t>
  </si>
  <si>
    <t xml:space="preserve">ACC-04 · Revisión mensual de la capacidad de la planta</t>
  </si>
  <si>
    <t xml:space="preserve">Tras el cierre de la previsión, Planificación presenta la carga frente a la capacidad y la dirección de planta decide turnos y balanceo con umbrales de ocupación acordados. Es el S&amp;OP de planta mientras llega el de grupo.</t>
  </si>
  <si>
    <t xml:space="preserve">ACC-05 · Cálculo automático de temporales</t>
  </si>
  <si>
    <t xml:space="preserve">La reserva de ciclo por familia se calcula sola en cada cierre a partir de la previsión cerrada y los tiempos de ciclo. Planificación solo revisa los cambios en la reunión de consenso.</t>
  </si>
  <si>
    <t xml:space="preserve">INT-02 · Propuestas de balanceo</t>
  </si>
  <si>
    <t xml:space="preserve">Agente que propone el reparto de turnos y de carga entre las líneas de extrusión y termoformado, con su impacto en horas y €. Planificación lo aprueba en la revisión mensual de capacidad.</t>
  </si>
  <si>
    <t xml:space="preserve">Plan Maestro</t>
  </si>
  <si>
    <t xml:space="preserve">P2R-03
Política de inventario por segmento</t>
  </si>
  <si>
    <t xml:space="preserve">INF-13
HT-P2R-04 · Stock sin política clara</t>
  </si>
  <si>
    <t xml:space="preserve">No se calculan ABC ni estrategias MTS/MTO aunque GIO tiene la transacción, y el stock fabricado por cambios de previsión queda sin dueño.</t>
  </si>
  <si>
    <t xml:space="preserve">ACC-06 · Definir criterios ABC / estrategia</t>
  </si>
  <si>
    <t xml:space="preserve">Definir ABC por valor, XYZ por variabilidad y la matriz que asigna a cada segmento MTS o MTO y su stock de seguridad. Comercial valida las estrategias.</t>
  </si>
  <si>
    <t xml:space="preserve">OPP-02
HT-P2R-05 · Fecha al cliente no fiable</t>
  </si>
  <si>
    <t xml:space="preserve">Oportunidad · —</t>
  </si>
  <si>
    <t xml:space="preserve">Se mantiene la fecha del cliente aunque se sabe desde el principio que no se llega, y las dos fechas del pedido no se usan. (también en P2R-04)</t>
  </si>
  <si>
    <t xml:space="preserve">ACC-07 · Definir acciones para el stock sin rotación</t>
  </si>
  <si>
    <t xml:space="preserve">Revisión mensual con Comercial del producto terminado sin movimiento: se decide venderlo, reprocesarlo o depreciarlo, y se imputa a quien lo originó cuando viene de un cambio de previsión fuera de plazo.</t>
  </si>
  <si>
    <t xml:space="preserve">ACC-08 · Cálculo automático de días de stock</t>
  </si>
  <si>
    <t xml:space="preserve">El sistema calcula la cobertura en días de stock de cada referencia y avisa de las que superan el objetivo de su segmento, para decidir a tiempo qué se deja de fabricar o se liquida.</t>
  </si>
  <si>
    <t xml:space="preserve">P2R-04
Promesa de fecha fiable</t>
  </si>
  <si>
    <t xml:space="preserve">Se mantiene la fecha del cliente aunque se sabe desde el principio que no se llega, y las dos fechas del pedido no se usan. (también en P2R-03)</t>
  </si>
  <si>
    <t xml:space="preserve">ACC-09 · Definir política de fecha confirmada</t>
  </si>
  <si>
    <t xml:space="preserve">Cada pedido lleva fecha solicitada y fecha confirmada. Planificación confirma en un plazo fijo y, si sabe que no se llega, Comercial avisa al cliente con la nueva fecha; el aviso lo ejecuta O2C.</t>
  </si>
  <si>
    <t xml:space="preserve">INT-03 · Propuesta de fechas de entrega viables para los pedidos y notas de carga</t>
  </si>
  <si>
    <t xml:space="preserve">Agente que calcula una fecha de entrega viable para cada pedido con la capacidad y los temporales, y propone las notas de carga. Comercial confirma la fecha al cliente por O2C.</t>
  </si>
  <si>
    <t xml:space="preserve">P2R-06
Programación estable y optimizada</t>
  </si>
  <si>
    <t xml:space="preserve">INF-12
HT-P2R-08 · Secuencia sin optimizar</t>
  </si>
  <si>
    <t xml:space="preserve">La secuencia se hace totalmente a mano en GIO, sin optimizar los cambios de molde y altura y con la ruta por defecto sin reequilibrar.</t>
  </si>
  <si>
    <t xml:space="preserve">INT-04 · Determinación de urgencias</t>
  </si>
  <si>
    <t xml:space="preserve">Ante una petición de cambio, calcula el impacto (qué pedidos se retrasan y cuántos cambios extra supone), aplica las reglas de prioridad y propone la decisión. Si hay conflicto, la escala al árbitro con el impacto calculado.</t>
  </si>
  <si>
    <t xml:space="preserve">INF-14
HT-P2R-09 · Programa inestable</t>
  </si>
  <si>
    <t xml:space="preserve">No hay zona congelada: los cambios de última hora llegan por teléfono y las prioridades se resuelven a mano; sin acuerdo, decide el director de planta.</t>
  </si>
  <si>
    <t xml:space="preserve">P2R-08
Control del servicio y mejora continua</t>
  </si>
  <si>
    <t xml:space="preserve">OPP-03
HT-P2R-11 · Servicio sin control</t>
  </si>
  <si>
    <t xml:space="preserve">Seguimiento y control · Seguimiento y Control</t>
  </si>
  <si>
    <t xml:space="preserve">No se mide el % de cumplimiento del servicio: el reporte diario de cargas atrasadas no es un KPI de OTIF y la fecha pensada para medir retrasos no se usa.</t>
  </si>
  <si>
    <t xml:space="preserve">ACC-10 · Análisis de atrasos de entregas</t>
  </si>
  <si>
    <t xml:space="preserve">Cada atraso se clasifica con una lista cerrada de causas (previsión, capacidad, material, secuencia o cambio del cliente). Cada mes se revisan las principales con una acción y un responsable, y lo aprendido vuelve a la previsión o a los parámetros.</t>
  </si>
  <si>
    <t xml:space="preserve">INF-15
HT-P2R-12 · Ciclo sin aprendizaje</t>
  </si>
  <si>
    <t xml:space="preserve">El reporte de atrasos se envía sin análisis de causa y los ajustes se hacen pedido a pedido, sin volver a la previsión ni a los parámetros.</t>
  </si>
  <si>
    <t xml:space="preserve">ACC-11 · Informe automático de pedidos / cargas en riesgo</t>
  </si>
  <si>
    <t xml:space="preserve">Informe automático diario de los pedidos y cargas en riesgo de llegar tarde: sustituye al reporte manual de cargas atrasadas y avisa a Comercial antes de que ocurra el atraso.</t>
  </si>
  <si>
    <t xml:space="preserve">Notas</t>
  </si>
  <si>
    <t xml:space="preserve">· INF-10 e INF-16 son del mismo tipo (HT-P2R-01) desde que se agruparon los de previsión: conviene fusionarlos para no contar dos veces su valor.</t>
  </si>
  <si>
    <t xml:space="preserve">· OPP-02 cuelga de P2R-03 y de P2R-04 (aviso ⚠ en la aplicación); lo cura P2R-04, así que se puede quitar de P2R-03.</t>
  </si>
  <si>
    <t xml:space="preserve">· En la aplicación la descripción de cada hallazgo es solo el nombre del tipo; aquí van las descripciones acordadas, para copiarlas.</t>
  </si>
  <si>
    <t xml:space="preserve">P2R × MGT · hallazgos, palancas e intervenciones</t>
  </si>
  <si>
    <t xml:space="preserve">Process owner: celda sin activar. La capacidad de los agentes sale a 0 € porque la celda aún no tiene dedicación de personas por fase.</t>
  </si>
  <si>
    <t xml:space="preserve">INF-01
HT-P2R-01 · Demanda sin previsión fiable</t>
  </si>
  <si>
    <t xml:space="preserve">Demanda Intercompany · Demanda y previsión</t>
  </si>
  <si>
    <t xml:space="preserve">No hay previsión de ningún tipo, ni externa ni intercompany: se planifica solo con la cartera, y no se sabe si se registran las ventas perdidas.</t>
  </si>
  <si>
    <t xml:space="preserve">ACC-01 · Previsión de papel de Ondupack</t>
  </si>
  <si>
    <t xml:space="preserve">Acordar con Ondupack que, en cada ciclo, envíe la previsión de papel de los ciclos siguientes por calidad y ancho, además del pedido firme 10 días antes. Es la otra mitad de la intervención «Previsión de papel compartida con MGT/PDA» de Ondupack.</t>
  </si>
  <si>
    <t xml:space="preserve">ACC-02 · Previsión de los clientes externos repetitivos</t>
  </si>
  <si>
    <t xml:space="preserve">Identificar con Comercial los clientes externos con consumo repetitivo y acordar con ellos una previsión no vinculante por calidad y ancho, revisada en cada ciclo.</t>
  </si>
  <si>
    <t xml:space="preserve">INF-02
HT-P2R-03 · Demanda y capacidad sin equilibrar</t>
  </si>
  <si>
    <t xml:space="preserve">Carga de Capacidad · S&amp;OP y Plan Maestro</t>
  </si>
  <si>
    <t xml:space="preserve">Los pedidos se cargan a capacidad infinita y la máquina trabaja siempre a 3 turnos a velocidad máxima; la duración de cada calidad en el ciclo se ajusta sobre la marcha, sin propuesta.</t>
  </si>
  <si>
    <t xml:space="preserve">ACC-03 · Política de llenado de capacidad</t>
  </si>
  <si>
    <t xml:space="preserve">Decidir con Dirección qué se fabrica cuando sobra capacidad (referencias repetitivas con mínimo y máximo, sobre todo las de Ondupack) y cuándo compensa parar, comparando el coste de parada con el coste del stock. Sustituye a la regla de «3 turnos siempre».</t>
  </si>
  <si>
    <t xml:space="preserve">ACC-04 · Revisión mensual de capacidad y ciclos</t>
  </si>
  <si>
    <t xml:space="preserve">Reunión mensual de Joan Carles con Comercial (Albert) y Dirección: carga frente a capacidad de los próximos ciclos, duración de cada calidad y pedidos que no caben.</t>
  </si>
  <si>
    <t xml:space="preserve">INT-01 · Agente de escenarios de ciclo</t>
  </si>
  <si>
    <t xml:space="preserve">Simula alternativas de duración y orden de las calidades, paradas y stock, y propone el ciclo con su impacto en coste y servicio. Planificación lo aprueba en la revisión mensual.</t>
  </si>
  <si>
    <t xml:space="preserve">Carga de Capacidad</t>
  </si>
  <si>
    <t xml:space="preserve">INF-03
HT-P2R-04 · Stock sin política clara</t>
  </si>
  <si>
    <t xml:space="preserve">Plan Fabricación · S&amp;OP y Plan Maestro</t>
  </si>
  <si>
    <t xml:space="preserve">Se acumula stock de Ondupack en MGT, que lo va retirando poco a poco; lo fabricado de más no se ajusta en el pedido y las 3 turnos generan stock aunque todo se fabrica bajo pedido.</t>
  </si>
  <si>
    <t xml:space="preserve">ACC-05 · Pull system con Ondupack, con mínimo y máximo por referencia</t>
  </si>
  <si>
    <t xml:space="preserve">Definir con Ondupack qué referencias se reponen por pull, con un mínimo y un máximo en MGT. Ondupack retira cada día de ese stock y MGT lo repone al combinar sus ciclos.</t>
  </si>
  <si>
    <t xml:space="preserve">Al entrar el pedido no se propone fecha porque la planificación no está integrada con Comercial, y las fechas de Ondupack no son fiables: marcan el inicio del ciclo y después cambian. (también en P2R-04)</t>
  </si>
  <si>
    <t xml:space="preserve">INT-02 · Agente de stock intercompany</t>
  </si>
  <si>
    <t xml:space="preserve">Cada mes revisa la cobertura de las referencias de Ondupack en MGT, propone ajustar mínimos y máximos y avisa del stock que se queda sin salida.</t>
  </si>
  <si>
    <t xml:space="preserve">Plan Fabricación</t>
  </si>
  <si>
    <t xml:space="preserve">Al entrar el pedido no se propone fecha porque la planificación no está integrada con Comercial, y las fechas de Ondupack no son fiables: marcan el inicio del ciclo y después cambian. (también en P2R-03)</t>
  </si>
  <si>
    <t xml:space="preserve">INT-04 · Copiloto de plazos para Comercial</t>
  </si>
  <si>
    <t xml:space="preserve">Comercial pregunta «¿cuándo sale la próxima tirada de esta calidad y ancho?» y el copiloto responde con el plan de ciclos y la capacidad libre, sin llamar a Planificación.</t>
  </si>
  <si>
    <t xml:space="preserve">Demanda Externa</t>
  </si>
  <si>
    <t xml:space="preserve">P2R-05
Planificación de materiales por excepción</t>
  </si>
  <si>
    <t xml:space="preserve">INF-04
HT-P2R-07 · Necesidades poco fiables</t>
  </si>
  <si>
    <t xml:space="preserve">Propuesta de Fabricación · Necesidades de Fabricación y MRP</t>
  </si>
  <si>
    <t xml:space="preserve">El MRP de materias primas se hace en un Excel; el de auxiliares, en SAP, se descuadra porque la entrada de báscula se registra después del consumo, y no se sabe cómo se planifica la bobina madre.</t>
  </si>
  <si>
    <t xml:space="preserve">ACC-06 · MRP de materias primas en SAP</t>
  </si>
  <si>
    <t xml:space="preserve">Pasar el MRP de materias primas del Excel a SAP, como ya se hace con los auxiliares, alimentado con el plan de ciclos y con lead time, lote mínimo y stock de seguridad completos.</t>
  </si>
  <si>
    <t xml:space="preserve">INT-03 · Agente de compras de materiales</t>
  </si>
  <si>
    <t xml:space="preserve">Revisa cada día los mensajes del MRP, propone las solicitudes de compra y avisa cuando el consumo se separa del plan. Marta Boyo y Joan Carles aprueban; el pedido sigue en P2P.</t>
  </si>
  <si>
    <t xml:space="preserve">MRP</t>
  </si>
  <si>
    <t xml:space="preserve">INF-05
HT-P2R-08 · Secuencia sin optimizar</t>
  </si>
  <si>
    <t xml:space="preserve">El algoritmo de combinación no tiene en cuenta lo ya fabricado ni hay fecha límite de cartera, y la agrupación por calidad y ancho es manual salvo que se use su salida.</t>
  </si>
  <si>
    <t xml:space="preserve">ACC-07 · Algoritmo con lo ya fabricado y fecha límite de cartera</t>
  </si>
  <si>
    <t xml:space="preserve">El algoritmo tiene en cuenta lo ya fabricado y el stock pull, y una fecha límite de cartera por ciclo. Su salida pasa a ser el estándar y la agrupación manual por calidad y ancho desaparece.</t>
  </si>
  <si>
    <t xml:space="preserve">INF-06
HT-P2R-09 · Programa inestable</t>
  </si>
  <si>
    <t xml:space="preserve">Las urgencias, también las de Ondupack fuera del plazo de 10 días, se encajan a mano, sin alertas ni zona congelada, y las prioridades se negocian caso a caso.</t>
  </si>
  <si>
    <t xml:space="preserve">INT-05 · Agente de urgencias</t>
  </si>
  <si>
    <t xml:space="preserve">Ante una urgencia, comprueba si cabe en el ciclo y qué pedidos y combinaciones se ven afectados, aplica las reglas y propone la decisión. Si hay conflicto, la escala con el impacto calculado.</t>
  </si>
  <si>
    <t xml:space="preserve">P2R-07
Liberación controlada</t>
  </si>
  <si>
    <t xml:space="preserve">INF-08
HT-P2R-10 · Liberación sin control</t>
  </si>
  <si>
    <t xml:space="preserve">Liberación de la Orden · Liberación</t>
  </si>
  <si>
    <t xml:space="preserve">No hay faltas por orden: el planificador comprueba a mano, en varios sitios, que hay material, sin ver cuándo llega, y la orden se entrega impresa en papel.</t>
  </si>
  <si>
    <t xml:space="preserve">ACC-11 · Disponibilidad de material por orden</t>
  </si>
  <si>
    <t xml:space="preserve">El sistema muestra en cada orden si el material está y cuándo llega, a partir del MRP y de los pedidos de compra. Sustituye la comprobación manual en varios sitios.</t>
  </si>
  <si>
    <t xml:space="preserve">Seguimiento del servicio · Seguimiento y Control</t>
  </si>
  <si>
    <t xml:space="preserve">No hay pilar de servicio ni KPI: las incidencias se resuelven por llamada y la coordinación de entregas con Ondupack lleva unos 16 correos al día.</t>
  </si>
  <si>
    <t xml:space="preserve">ACC-08 · Pilar de servicio semanal</t>
  </si>
  <si>
    <t xml:space="preserve">Reunión semanal fija entre MGT, Ondupack y Comercial: servicio, pedidos pendientes, atrasos y sus causas, y restos de pedidos antiguos por cerrar.</t>
  </si>
  <si>
    <t xml:space="preserve">INF-07
HT-P2R-12 · Ciclo sin aprendizaje</t>
  </si>
  <si>
    <t xml:space="preserve">No se analizan desviaciones ni atrasos y las incidencias no dejan causa registrada.</t>
  </si>
  <si>
    <t xml:space="preserve">ACC-09 · KPI de servicio</t>
  </si>
  <si>
    <t xml:space="preserve">Definir el OTIF contra fecha confirmada para clientes externos y para Ondupack, y publicarlo cada semana.</t>
  </si>
  <si>
    <t xml:space="preserve">ACC-10 · Visibilidad de stock y cargas para Ondupack</t>
  </si>
  <si>
    <t xml:space="preserve">Ondupack ve en línea el stock de MGT y la producción prevista, y pide las cargas desde ahí, en lugar de los unos 16 correos diarios. La carga la sigue ejecutando T2D.</t>
  </si>
  <si>
    <t xml:space="preserve">INT-06 · Agente de coordinación de cargas con Ondupack</t>
  </si>
  <si>
    <t xml:space="preserve">Lee las peticiones de Ondupack, comprueba stock y plan, y propone la carga del día siguiente dentro del mínimo y máximo acordados. Joan Carles aprueba.</t>
  </si>
  <si>
    <t xml:space="preserve">Entregas a Ondupack y Cierre</t>
  </si>
  <si>
    <t xml:space="preserve">· OPP-02 cuelga de P2R-03 y de P2R-04 (aviso ⚠ en P2R-03); lo cura P2R-04, así que se puede quitar de P2R-03.</t>
  </si>
  <si>
    <t xml:space="preserve">· P2R-05 no cura HT-P2R-06 en MGT (no está asignado), solo HT-P2R-07.</t>
  </si>
  <si>
    <t xml:space="preserve">· P2R-04 solo tiene el copiloto de plazos: sin la «Fecha confirmada por Planificación» (negocio) nada cambia cómo se promete la fecha, que es lo que describe OPP-02.</t>
  </si>
  <si>
    <t xml:space="preserve">· INF-08 menciona las órdenes impresas en papel, pero P2R-07 no tiene la «Orden digital a producción»; y el descuadre de báscula de INF-04 depende del proceso de inventario.</t>
  </si>
  <si>
    <t xml:space="preserve">P2R × Ondupack Almendralejo · hallazgos, palancas e intervenciones</t>
  </si>
  <si>
    <t xml:space="preserve">Process owner: Enrique Tejada. La capacidad de los agentes sale a 0 € porque la celda aún no tiene dedicación de personas por fase.</t>
  </si>
  <si>
    <t xml:space="preserve">Entrada de Pedidos y Fecha · Demanda y previsión</t>
  </si>
  <si>
    <t xml:space="preserve">No se usa previsión aunque hay clientes con consumo repetitivo, no se sabe qué parte de la demanda es de pedido firme, de stock o intercompany, y la demanda perdida no se registra en el sistema.</t>
  </si>
  <si>
    <t xml:space="preserve">ACC-01 · Integración de las referencias/clientes que vayan por previsión en GIO</t>
  </si>
  <si>
    <t xml:space="preserve">Identificar con Comercial los clientes y referencias con consumo repetitivo, acordar con ellos una previsión no vinculante y cargarla en GIO para que la carga-capacidad y el CTP la tengan en cuenta.</t>
  </si>
  <si>
    <t xml:space="preserve">ACC-02 · Registro de la demanda perdida en GIO</t>
  </si>
  <si>
    <t xml:space="preserve">Cuando el cliente no acepta la fecha que propone el CTP, reduce la cantidad o se rechaza un pedido por capacidad, GIO obliga a registrar el motivo.</t>
  </si>
  <si>
    <t xml:space="preserve">INF-06
HT-P2R-03 · Demanda y capacidad sin equilibrar</t>
  </si>
  <si>
    <t xml:space="preserve">Carga Capacidad · S&amp;OP y Plan Maestro</t>
  </si>
  <si>
    <t xml:space="preserve">La 924 no alcanza los metros planificados y arrastra pedidos lanzados. La sobresaturación se detecta tarde: por las fechas de entrega o porque se llena el almacén intermedio.</t>
  </si>
  <si>
    <t xml:space="preserve">ACC-03 · Revisión mensual de capacidad y cuellos de botella</t>
  </si>
  <si>
    <t xml:space="preserve">Reunión mensual Planificación–Producción–Comercial con la carga de los próximos 2–3 meses por máquina: decide turnos con los escenarios de 2 a 5, qué entra en la 924 y qué se desvía por ruta alternativa.</t>
  </si>
  <si>
    <t xml:space="preserve">INT-01 · Agente de escenarios de capacidad</t>
  </si>
  <si>
    <t xml:space="preserve">Simula turnos, rutas alternativas para descargar la 924 y agrupaciones, y propone el plan con su impacto en servicio y coste. Planificación lo aprueba en la revisión mensual.</t>
  </si>
  <si>
    <t xml:space="preserve">Carga Capacidad</t>
  </si>
  <si>
    <t xml:space="preserve">INF-02
HT-P2R-06 · Faltas tardías y gestionadas a mano</t>
  </si>
  <si>
    <t xml:space="preserve">Ineficiencia · Fuga de P&amp;L</t>
  </si>
  <si>
    <t xml:space="preserve">Papel y Auxiliares · Necesidades de Fabricación y MRP</t>
  </si>
  <si>
    <t xml:space="preserve">La falta de materia prima es su primer problema. El papel se pide por consumo pasado y los auxiliares se reponen a mano; no hay MRP ni aviso de faltas por orden, y GIO solo ve el stock de papel.</t>
  </si>
  <si>
    <t xml:space="preserve">ACC-04 · Necesidad de papel calculada desde el plan</t>
  </si>
  <si>
    <t xml:space="preserve">Calcular cada día la necesidad neta de papel a partir de la cartera planificada, la previsión y la lista de materiales, en lugar del consumo pasado, y avisar de las faltas por orden y por fecha.</t>
  </si>
  <si>
    <t xml:space="preserve">INF-03
HT-P2R-07 · Necesidades poco fiables</t>
  </si>
  <si>
    <t xml:space="preserve">La necesidad de papel no sale del plan, sale del histórico. Las sustituciones se hacen a mano, los consumos se dan por diferencia de inventario cada mes y el maestro está incompleto (sin lote mínimo ni calendario).</t>
  </si>
  <si>
    <t xml:space="preserve">ACC-05 · Stock de papel fiable sin esperar al inventario mensual</t>
  </si>
  <si>
    <t xml:space="preserve">Declarar el consumo real de papel por orden, que ya se puede trazar en GPO, en lugar de calcularlo por diferencia en el inventario mensual. El registro lo hace el proceso de inventario; aquí se usa.</t>
  </si>
  <si>
    <t xml:space="preserve">ACC-06 · Previsión de papel compartida con MGT/PDA/PAPRESA</t>
  </si>
  <si>
    <t xml:space="preserve">En cada ciclo, Ondupack envía a MGT, PDA y Papresa la previsión de papel de los próximos ciclos por calidad y ancho, además del pedido firme 10 días antes. El pedido sigue yendo por P2P.</t>
  </si>
  <si>
    <t xml:space="preserve">ACC-07 · Faltas de materia prima</t>
  </si>
  <si>
    <t xml:space="preserve">Cada día revisa las faltas por orden, propone la acción (adelantar el pedido a MGT, usar un sustituto aprobado o mover la orden) y prepara el aviso a Compras. Planificación aprueba.</t>
  </si>
  <si>
    <t xml:space="preserve">INF-04
HT-P2R-08 · Secuencia sin optimizar</t>
  </si>
  <si>
    <t xml:space="preserve">Onduladora · Programación</t>
  </si>
  <si>
    <t xml:space="preserve">La combinación de onduladora y la secuencia de converting no se optimizan; la optimización está aplazada hasta estabilizar los datos. Se repiten maestros fabricados en la misma semana.</t>
  </si>
  <si>
    <t xml:space="preserve">ACC-11 · Algoritmo de combinación</t>
  </si>
  <si>
    <t xml:space="preserve">Propone las combinaciones por canal minimizando trim y cambios, y agrupa las referencias que hoy se repiten en la misma semana. El planificador las revisa y aprueba. Ya está en el plan de sistemas.</t>
  </si>
  <si>
    <t xml:space="preserve">INF-05
HT-P2R-09 · Programa inestable</t>
  </si>
  <si>
    <t xml:space="preserve">No hay zona congelada: los cambios del cliente se aceptan por email mientras el pedido no esté fabricado, las urgencias se resuelven llamando y no se registra la causa de las reprogramaciones.</t>
  </si>
  <si>
    <t xml:space="preserve">INT-03 · Agente de urgencias y cambios</t>
  </si>
  <si>
    <t xml:space="preserve">Ante un cambio del cliente o una urgencia, calcula el impacto (pedidos desplazados, cambios extra y saturación del almacén intermedio), aplica el criterio de urgencia y propone la decisión; si hay conflicto, la escala.</t>
  </si>
  <si>
    <t xml:space="preserve">Converting</t>
  </si>
  <si>
    <t xml:space="preserve">OPP-01
HT-P2R-11 · Servicio sin control</t>
  </si>
  <si>
    <t xml:space="preserve">Revisión Semanal · Seguimiento y Control</t>
  </si>
  <si>
    <t xml:space="preserve">Falta un KPI oficial de servicio: Dirección y Comercial todavía no han decidido cuál usar ni contra qué fecha medirlo.</t>
  </si>
  <si>
    <t xml:space="preserve">ACC-08 · KPI oficial de servicio</t>
  </si>
  <si>
    <t xml:space="preserve">Que Dirección y Comercial decidan el KPI oficial (recomendado: OTIF contra fecha confirmada por el CTP, pedido completo) y su objetivo, y publicarlo cada semana.</t>
  </si>
  <si>
    <t xml:space="preserve">ACC-09 · Reunión semanal con KPIs y causas</t>
  </si>
  <si>
    <t xml:space="preserve">La reunión semanal de planificación Ondupack/Navalmoral incorpora el OTIF, la adherencia y las principales causas de atraso y de reprogramación, cada una con su acción y su responsable.</t>
  </si>
  <si>
    <t xml:space="preserve">ACC-10 · Copiloto de estado de pedidos</t>
  </si>
  <si>
    <t xml:space="preserve">Responde a Call center y a Comercial «¿cuándo sale el pedido X?» y «¿por qué va tarde?» con los datos de GIO, sin cambiar nada.</t>
  </si>
  <si>
    <t xml:space="preserve">INT-02 · Agente de causa raíz</t>
  </si>
  <si>
    <t xml:space="preserve">Clasifica cada atraso y desviación (velocidad, OEE, falta de papel, cambio del cliente o saturación), propone la acción y el ajuste de parámetros. Planificación aprueba.</t>
  </si>
  <si>
    <t xml:space="preserve">Seguimiento del Servicio</t>
  </si>
  <si>
    <t xml:space="preserve">· El tipo HT-P2R-01 es ahora Oportunidad, pero INF-01 sigue como Ineficiencia · Circulante (igual que INF-10 e INF-16 en Ondupet).</t>
  </si>
  <si>
    <t xml:space="preserve">· ACC-07 es un agente que no cambia ninguna caja: si se marca sobre «Autorizar la liberación con material pendiente», aparecerá en el to-be y tendrá capacidad.</t>
  </si>
  <si>
    <t xml:space="preserve">· HT-P2R-12 no está asignado en esta celda, así que P2R-08 solo cura OPP-01.</t>
  </si>
  <si>
    <t xml:space="preserve">Fichas de hallazgo por empresa · campos del formulario (sin cuantificación)</t>
  </si>
  <si>
    <t xml:space="preserve">Detectado en: «aquí mismo» en todos. La métrica es el volumen expuesto que hoy se puede medir en cada empresa (sustituye a la heredada del tipo antiguo). Esfuerzo e impacto de 1 (bajo) a 5 (alto), como en la aplicación. La última columna dice qué hay que cambiar en la aplicación.</t>
  </si>
  <si>
    <t xml:space="preserve">Empresa</t>
  </si>
  <si>
    <t xml:space="preserve">Tipo de hallazgo</t>
  </si>
  <si>
    <t xml:space="preserve">Anclaje (bloque)</t>
  </si>
  <si>
    <t xml:space="preserve">Esfuerzo</t>
  </si>
  <si>
    <t xml:space="preserve">Impacto</t>
  </si>
  <si>
    <t xml:space="preserve">Qué cambiar en la aplicación</t>
  </si>
  <si>
    <t xml:space="preserve">INF-10</t>
  </si>
  <si>
    <t xml:space="preserve">HT-P2R-01 · Demanda sin previsión fiable</t>
  </si>
  <si>
    <t xml:space="preserve">Demanda y previsión</t>
  </si>
  <si>
    <t xml:space="preserve">Comercial modifica la previsión a comienzo de mes, incluso con el material ya fabricado, sin comunicación formal ni cierre ni consenso, y nadie responde del stock fabricado. Además, la reunión de accuracy no genera acciones y los agotados se registran de forma irregular.</t>
  </si>
  <si>
    <t xml:space="preserve">€ / mes de previsión cambiada tras el inicio del mes o sin consensuar</t>
  </si>
  <si>
    <t xml:space="preserve">Pegar esta descripción, que ya incluye INF-16.</t>
  </si>
  <si>
    <t xml:space="preserve">INF-16</t>
  </si>
  <si>
    <t xml:space="preserve">Fusionar en INF-10 y desactivar en Ondupet: es el mismo tipo.</t>
  </si>
  <si>
    <t xml:space="preserve">INF-11</t>
  </si>
  <si>
    <t xml:space="preserve">HT-P2R-03 · Demanda y capacidad sin equilibrar</t>
  </si>
  <si>
    <t xml:space="preserve">S&amp;OP y Plan Maestro</t>
  </si>
  <si>
    <t xml:space="preserve">Horas de línea / año de extrusión y termoformado planificadas sin cruzar carga y capacidad</t>
  </si>
  <si>
    <t xml:space="preserve">INF-13</t>
  </si>
  <si>
    <t xml:space="preserve">HT-P2R-04 · Stock sin política clara</t>
  </si>
  <si>
    <t xml:space="preserve">€ de stock medio de producto terminado sin ABC ni estrategia</t>
  </si>
  <si>
    <t xml:space="preserve">OPP-02</t>
  </si>
  <si>
    <t xml:space="preserve">HT-P2R-05 · Fecha al cliente no fiable</t>
  </si>
  <si>
    <t xml:space="preserve">Se mantiene la fecha del cliente aunque se sabe desde el principio que no se llega, y las dos fechas del pedido no se usan.</t>
  </si>
  <si>
    <t xml:space="preserve">€ de ventas / año en pedidos entregados después de la fecha del cliente</t>
  </si>
  <si>
    <t xml:space="preserve">INF-12</t>
  </si>
  <si>
    <t xml:space="preserve">HT-P2R-08 · Secuencia sin optimizar</t>
  </si>
  <si>
    <t xml:space="preserve">Horas de línea / año en cambios de molde y altura</t>
  </si>
  <si>
    <t xml:space="preserve">INF-14</t>
  </si>
  <si>
    <t xml:space="preserve">HT-P2R-09 · Programa inestable</t>
  </si>
  <si>
    <t xml:space="preserve">Cambios de última hora / año dentro del programa</t>
  </si>
  <si>
    <t xml:space="preserve">OPP-03</t>
  </si>
  <si>
    <t xml:space="preserve">HT-P2R-11 · Servicio sin control</t>
  </si>
  <si>
    <t xml:space="preserve">Seguimiento y control</t>
  </si>
  <si>
    <t xml:space="preserve">€ de ventas / año en pedidos atrasados (reporte diario de cargas atrasadas)</t>
  </si>
  <si>
    <t xml:space="preserve">INF-15</t>
  </si>
  <si>
    <t xml:space="preserve">HT-P2R-12 · Ciclo sin aprendizaje</t>
  </si>
  <si>
    <t xml:space="preserve">Atrasos / año sin análisis de causa</t>
  </si>
  <si>
    <t xml:space="preserve">INF-01</t>
  </si>
  <si>
    <t xml:space="preserve">Demanda Intercompany</t>
  </si>
  <si>
    <t xml:space="preserve">t / año de papel (Ondupack y clientes repetitivos) planificadas sin previsión</t>
  </si>
  <si>
    <t xml:space="preserve">Cambiar la familia a Ineficiencia · Circulante, como el tipo.</t>
  </si>
  <si>
    <t xml:space="preserve">INF-02</t>
  </si>
  <si>
    <t xml:space="preserve">Horas / año de máquina a 3 turnos sin cartera que los llene</t>
  </si>
  <si>
    <t xml:space="preserve">INF-03</t>
  </si>
  <si>
    <t xml:space="preserve">€ de stock de Ondupack en MGT</t>
  </si>
  <si>
    <t xml:space="preserve">Al entrar el pedido no se propone fecha porque la planificación no está integrada con Comercial, y las fechas de Ondupack no son fiables: marcan el inicio del ciclo y después cambian.</t>
  </si>
  <si>
    <t xml:space="preserve">€ de ventas / año en pedidos entregados después de la fecha pedida por el cliente</t>
  </si>
  <si>
    <t xml:space="preserve">Cambiar el anclaje a Demanda Externa: es donde se da (o no) la fecha.</t>
  </si>
  <si>
    <t xml:space="preserve">INF-04</t>
  </si>
  <si>
    <t xml:space="preserve">HT-P2R-07 · Necesidades poco fiables</t>
  </si>
  <si>
    <t xml:space="preserve">€ de stock medio de materias primas y auxiliares</t>
  </si>
  <si>
    <t xml:space="preserve">Cambiar el anclaje a MRP: el problema es el MRP, no la propuesta de PT.</t>
  </si>
  <si>
    <t xml:space="preserve">INF-05</t>
  </si>
  <si>
    <t xml:space="preserve">Horas / año de máquina en cambios de calidad y ancho</t>
  </si>
  <si>
    <t xml:space="preserve">INF-06</t>
  </si>
  <si>
    <t xml:space="preserve">Urgencias / año encajadas a mano en el ciclo</t>
  </si>
  <si>
    <t xml:space="preserve">INF-08</t>
  </si>
  <si>
    <t xml:space="preserve">HT-P2R-10 · Liberación sin control</t>
  </si>
  <si>
    <t xml:space="preserve">Liberación de la Orden</t>
  </si>
  <si>
    <t xml:space="preserve">Órdenes / año liberadas con comprobación manual de material</t>
  </si>
  <si>
    <t xml:space="preserve">Seguimiento del servicio</t>
  </si>
  <si>
    <t xml:space="preserve">€ de ventas / año en pedidos entregados tarde (incluido Ondupack)</t>
  </si>
  <si>
    <t xml:space="preserve">INF-07</t>
  </si>
  <si>
    <t xml:space="preserve">Incidencias / año resueltas sin causa registrada</t>
  </si>
  <si>
    <t xml:space="preserve">Ondupack Almendralejo</t>
  </si>
  <si>
    <t xml:space="preserve">Entrada de Pedidos y Fecha</t>
  </si>
  <si>
    <t xml:space="preserve">€ de ventas / año de clientes y referencias repetitivas planificadas sin previsión</t>
  </si>
  <si>
    <t xml:space="preserve">Horas / año de la 924 planificadas por encima de lo que produce</t>
  </si>
  <si>
    <t xml:space="preserve">HT-P2R-06 · Faltas tardías y gestionadas a mano</t>
  </si>
  <si>
    <t xml:space="preserve">Papel y Auxiliares</t>
  </si>
  <si>
    <t xml:space="preserve">Órdenes / año liberadas con material pendiente</t>
  </si>
  <si>
    <t xml:space="preserve">€ de stock medio de papel</t>
  </si>
  <si>
    <t xml:space="preserve">Onduladora</t>
  </si>
  <si>
    <t xml:space="preserve">Horas / año de onduladora y converting en cambios</t>
  </si>
  <si>
    <t xml:space="preserve">Cambios del cliente / año aceptados con el pedido ya programado</t>
  </si>
  <si>
    <t xml:space="preserve">Cambiar el anclaje a Converting: es donde se replanifica.</t>
  </si>
  <si>
    <t xml:space="preserve">OPP-01</t>
  </si>
  <si>
    <t xml:space="preserve">€ de ventas / año en pedidos entregados después de la fecha propuesta por el CTP</t>
  </si>
  <si>
    <t xml:space="preserve">Cambiar el anclaje a Seguimiento del servicio: es donde falta el KPI.</t>
  </si>
  <si>
    <t xml:space="preserve">Fichas de palanca por empresa · pestaña «Definición»</t>
  </si>
  <si>
    <t xml:space="preserve">El compromiso de valor (€ P&amp;L, working capital) se deja para la cuantificación: confianza «por cuantificar» y estado «identificada». La ventana se calcula con las fechas de sus intervenciones.</t>
  </si>
  <si>
    <t xml:space="preserve">Qué ataca: líneas (tipo · hallazgo)</t>
  </si>
  <si>
    <t xml:space="preserve">Horas de personas (caja · quién · horas/año hoy)</t>
  </si>
  <si>
    <t xml:space="preserve">Responsable de la palanca</t>
  </si>
  <si>
    <t xml:space="preserve">Equipo de apoyo</t>
  </si>
  <si>
    <t xml:space="preserve">Ventana: desde</t>
  </si>
  <si>
    <t xml:space="preserve">Ventana: hasta</t>
  </si>
  <si>
    <t xml:space="preserve">Contador</t>
  </si>
  <si>
    <t xml:space="preserve">Proyecto</t>
  </si>
  <si>
    <t xml:space="preserve">Circulante · INF-10</t>
  </si>
  <si>
    <t xml:space="preserve">Previsión y Precisión · Victoriano Pérez · 86 h/año (5 % en Demanda y previsión); INT-01 le quita ≈ 26 h</t>
  </si>
  <si>
    <t xml:space="preserve">Victoriano Pérez Carrasco · Monica Gordillo Guerrero</t>
  </si>
  <si>
    <t xml:space="preserve">Precisión y sesgo por familia: previsión cerrada frente a expediciones, en GIO</t>
  </si>
  <si>
    <t xml:space="preserve">Piloto P2R Ondupet 2027</t>
  </si>
  <si>
    <t xml:space="preserve">Quitar la línea de INF-16 (ya no está vivo) y añadir «+ Horas de personas» en Previsión y Precisión para que cuente la capacidad de INT-01 (903 €).</t>
  </si>
  <si>
    <t xml:space="preserve">Transformación (capacidad de línea) · INF-11</t>
  </si>
  <si>
    <t xml:space="preserve">Plan Maestro · Manuel Jesús Trinidad 258 h/año y Monica Gordillo 344 h/año (S&amp;OP y Plan Maestro)</t>
  </si>
  <si>
    <t xml:space="preserve">Manuel Jesús Trinidad Montero · Sistemas / IT (dar de alta en el censo)</t>
  </si>
  <si>
    <t xml:space="preserve">% de saturación por línea de extrusión y termoformado, en GIO</t>
  </si>
  <si>
    <t xml:space="preserve">Añadir «+ Horas de personas» en Plan Maestro (INT-02). Revisar la dedicación de Victoriano: no tiene % en S&amp;OP y Plan Maestro aunque hace el plan de fabricación y los temporales.</t>
  </si>
  <si>
    <t xml:space="preserve">Circulante · INF-13</t>
  </si>
  <si>
    <t xml:space="preserve">— (ninguna intervención cambia cajas)</t>
  </si>
  <si>
    <t xml:space="preserve">Victoriano Pérez Carrasco · Manuel Jesús Trinidad Montero</t>
  </si>
  <si>
    <t xml:space="preserve">Cobertura en días de producto terminado por segmento, en GIO</t>
  </si>
  <si>
    <t xml:space="preserve">Quitar OPP-02 de «qué ataca»: lo cura P2R-04.</t>
  </si>
  <si>
    <t xml:space="preserve">Oportunidad (ingreso) · OPP-02</t>
  </si>
  <si>
    <t xml:space="preserve">Plan Maestro (Cartera Pedidos) · Manuel Jesús Trinidad 258 h/año y Monica Gordillo 344 h/año</t>
  </si>
  <si>
    <t xml:space="preserve">% de pedidos entregados en la primera fecha confirmada: fecha confirmada frente a fecha de carga, en GIO</t>
  </si>
  <si>
    <t xml:space="preserve">Añadir «+ Horas de personas» en Plan Maestro (INT-03).</t>
  </si>
  <si>
    <t xml:space="preserve">Transformación (capacidad de línea) · INF-12
Transformación (capacidad de línea) · INF-14</t>
  </si>
  <si>
    <t xml:space="preserve">Programación · Victoriano Pérez · 430 h/año (25 %)</t>
  </si>
  <si>
    <t xml:space="preserve">Producción (dar de alta en el censo) · Sistemas / IT (dar de alta en el censo)</t>
  </si>
  <si>
    <t xml:space="preserve">Horas de cambio de molde y altura por semana, en los partes de producción</t>
  </si>
  <si>
    <t xml:space="preserve">Añadir «+ Horas de personas» en Programación (INT-04).</t>
  </si>
  <si>
    <t xml:space="preserve">Oportunidad (ingreso) · OPP-03
Transformación (capacidad de línea) · INF-15</t>
  </si>
  <si>
    <t xml:space="preserve">— (ninguna intervención cambia cajas; si ACC-11 marca su caja: Seguimiento y control · Victoriano · 258 h/año)</t>
  </si>
  <si>
    <t xml:space="preserve">OTIF contra la fecha del cliente: GIO y albaranes de SAP</t>
  </si>
  <si>
    <t xml:space="preserve">Circulante · INF-01</t>
  </si>
  <si>
    <t xml:space="preserve">Joan Carles Girones Campaña · Angélica Lemus Fernández (Ondupack)</t>
  </si>
  <si>
    <t xml:space="preserve">% de la demanda (Ondupack y clientes repetitivos) con previsión por calidad y ancho</t>
  </si>
  <si>
    <t xml:space="preserve">Despliegue P2R papeleras (MGT y PDA) 2027-28</t>
  </si>
  <si>
    <t xml:space="preserve">Transformación (capacidad de línea) · INF-02</t>
  </si>
  <si>
    <t xml:space="preserve">Carga de Capacidad · Joan Carles Girones (sin dedicación cargada: 0 h)</t>
  </si>
  <si>
    <t xml:space="preserve">Horas de máquina a 3 turnos sin cartera, en GIO y en los partes de producción</t>
  </si>
  <si>
    <t xml:space="preserve">Añadir «+ Horas de personas» en Carga de Capacidad (INT-01).</t>
  </si>
  <si>
    <t xml:space="preserve">Circulante · INF-03</t>
  </si>
  <si>
    <t xml:space="preserve">Plan Fabricación · Joan Carles Girones (sin dedicación cargada: 0 h)</t>
  </si>
  <si>
    <t xml:space="preserve">Angélica Lemus Fernández (Ondupack) · Albert Fontanet Lopez</t>
  </si>
  <si>
    <t xml:space="preserve">€ y días de cobertura del stock de Ondupack en MGT, en SAP</t>
  </si>
  <si>
    <t xml:space="preserve">Quitar OPP-02 de «qué ataca» (lo cura P2R-04) y añadir «+ Horas de personas» en Plan Fabricación (INT-02).</t>
  </si>
  <si>
    <t xml:space="preserve">Demanda Externa · Joan Carles Girones, que hace de atención al cliente (sin dedicación cargada: 0 h)</t>
  </si>
  <si>
    <t xml:space="preserve">% de pedidos entregados en la fecha pedida, en SAP</t>
  </si>
  <si>
    <t xml:space="preserve">Añadir «+ Horas de personas» en Demanda Externa (INT-04) y la intervención «Fecha confirmada por Planificación».</t>
  </si>
  <si>
    <t xml:space="preserve">Circulante · INF-04</t>
  </si>
  <si>
    <t xml:space="preserve">MRP · Marta Boyo y Joan Carles Girones (sin dedicación cargada: 0 h)</t>
  </si>
  <si>
    <t xml:space="preserve">Joan Carles Girones Campaña · Sistemas / IT (dar de alta en el censo)</t>
  </si>
  <si>
    <t xml:space="preserve">Cobertura en días de materias primas y auxiliares, en SAP</t>
  </si>
  <si>
    <t xml:space="preserve">Añadir «+ Horas de personas» en MRP (INT-03).</t>
  </si>
  <si>
    <t xml:space="preserve">Transformación (capacidad de línea) · INF-05
Transformación (capacidad de línea) · INF-06</t>
  </si>
  <si>
    <t xml:space="preserve">Programación · Joan Carles Girones (sin dedicación cargada: 0 h)</t>
  </si>
  <si>
    <t xml:space="preserve">Ramón (algoritmo, dar de alta en el censo)</t>
  </si>
  <si>
    <t xml:space="preserve">Horas de cambio de calidad y ancho por semana, en los partes de producción</t>
  </si>
  <si>
    <t xml:space="preserve">Añadir «+ Horas de personas» en Programación (INT-05).</t>
  </si>
  <si>
    <t xml:space="preserve">Transformación (capacidad de línea) · INF-08</t>
  </si>
  <si>
    <t xml:space="preserve">— (si ACC-11 marca su caja: Liberación de la Orden · Joan Carles Girones)</t>
  </si>
  <si>
    <t xml:space="preserve">Marta Boyo Martinez · Sistemas / IT (dar de alta en el censo)</t>
  </si>
  <si>
    <t xml:space="preserve">Órdenes liberadas con comprobación manual o en papel, en GIO</t>
  </si>
  <si>
    <t xml:space="preserve">Añadir la intervención «Orden digital a producción»: INF-08 habla de las órdenes en papel.</t>
  </si>
  <si>
    <t xml:space="preserve">Oportunidad (ingreso) · OPP-03
Transformación (capacidad de línea) · INF-07</t>
  </si>
  <si>
    <t xml:space="preserve">Entregas a Ondupack y Cierre · Joan Carles Girones (sin dedicación cargada: 0 h)</t>
  </si>
  <si>
    <t xml:space="preserve">OTIF de clientes externos y de Ondupack, en SAP</t>
  </si>
  <si>
    <t xml:space="preserve">Añadir «+ Horas de personas» en Entregas a Ondupack y Cierre (INT-06).</t>
  </si>
  <si>
    <t xml:space="preserve">Maria Teresa Espinosa Paredes · Tomás Buenavida Santiago</t>
  </si>
  <si>
    <t xml:space="preserve">% de la demanda repetitiva con previsión, en GIO</t>
  </si>
  <si>
    <t xml:space="preserve">Despliegue P2R Ondupack 2027</t>
  </si>
  <si>
    <t xml:space="preserve">Transformación (capacidad de línea) · INF-06</t>
  </si>
  <si>
    <t xml:space="preserve">Carga Capacidad · Miguel Ángel Rosado y Tomás Buenavida (sin dedicación cargada: 0 h)</t>
  </si>
  <si>
    <t xml:space="preserve">Miguel Ángel Rosado Martínez · Karim Karach Boujtat · Tomás Buenavida Santiago</t>
  </si>
  <si>
    <t xml:space="preserve">% de saturación de la 924 con la velocidad real, en GIO</t>
  </si>
  <si>
    <t xml:space="preserve">Añadir «+ Horas de personas» en Carga Capacidad (INT-01), después de cargar la dedicación de la celda.</t>
  </si>
  <si>
    <t xml:space="preserve">P&amp;L · fuga · INF-02
Circulante · INF-03</t>
  </si>
  <si>
    <t xml:space="preserve">Papel y Auxiliares · Miguel Ángel Rosado y Angélica Lemus (sin dedicación cargada: 0 h)</t>
  </si>
  <si>
    <t xml:space="preserve">Miguel Ángel Rosado Martínez · Tomás Buenavida Santiago</t>
  </si>
  <si>
    <t xml:space="preserve">Órdenes liberadas con material pendiente (GIO) y € de compras urgentes (SAP)</t>
  </si>
  <si>
    <t xml:space="preserve">Anclar ACC-07 (agente) a Papel y Auxiliares y añadir «+ Horas de personas» en esa caja.</t>
  </si>
  <si>
    <t xml:space="preserve">Transformación (capacidad de línea) · INF-04
Transformación (capacidad de línea) · INF-05</t>
  </si>
  <si>
    <t xml:space="preserve">Converting · Miguel Ángel Rosado (sin dedicación cargada: 0 h)</t>
  </si>
  <si>
    <t xml:space="preserve">José María Baquero Jaen · Tomás Buenavida Santiago · Sistemas / IT (dar de alta en el censo)</t>
  </si>
  <si>
    <t xml:space="preserve">Horas de cambio en onduladora y converting, con los escenarios SMED de GIO</t>
  </si>
  <si>
    <t xml:space="preserve">Añadir «+ Horas de personas» en Converting (INT-03).</t>
  </si>
  <si>
    <t xml:space="preserve">Oportunidad (ingreso) · OPP-01</t>
  </si>
  <si>
    <t xml:space="preserve">Seguimiento del Servicio · Miguel Ángel Rosado y Teresa Espinosa (sin dedicación cargada: 0 h)</t>
  </si>
  <si>
    <t xml:space="preserve">OTIF contra la fecha propuesta por el CTP, en GIO</t>
  </si>
  <si>
    <t xml:space="preserve">Añadir «+ Horas de personas» en Seguimiento del Servicio (INT-02).</t>
  </si>
  <si>
    <t xml:space="preserve">Intervenciones de negocio y software · campos del formulario</t>
  </si>
  <si>
    <t xml:space="preserve">Cómo va: «pendiente» en todas. Responsable: «el owner» deja el campo vacío (lo lleva el owner de la palanca). La última columna propone marcar «Además cambia tareas del flujo» para que la intervención cuente en el to-be y en la capacidad.</t>
  </si>
  <si>
    <t xml:space="preserve">Responsable</t>
  </si>
  <si>
    <t xml:space="preserve">Empieza</t>
  </si>
  <si>
    <t xml:space="preserve">Termina</t>
  </si>
  <si>
    <t xml:space="preserve">Marcar «cambia tareas del flujo» (caja › tarea → qué le pasa)</t>
  </si>
  <si>
    <t xml:space="preserve">Nota</t>
  </si>
  <si>
    <t xml:space="preserve">ACC-01</t>
  </si>
  <si>
    <t xml:space="preserve">Calendario de previsión con día de cierre</t>
  </si>
  <si>
    <t xml:space="preserve">el owner</t>
  </si>
  <si>
    <t xml:space="preserve">Ya rellenado en la aplicación: solo faltan fechas.</t>
  </si>
  <si>
    <t xml:space="preserve">ACC-02</t>
  </si>
  <si>
    <t xml:space="preserve">Registro diario de agotados</t>
  </si>
  <si>
    <t xml:space="preserve">ACC-03</t>
  </si>
  <si>
    <t xml:space="preserve">Cálculo de % de saturación</t>
  </si>
  <si>
    <t xml:space="preserve">Sistemas / IT (dar de alta en el censo)</t>
  </si>
  <si>
    <t xml:space="preserve">Plan Maestro › Plan de Fabricación → Decisión de turnos y balanceo de materiales → se simplifica</t>
  </si>
  <si>
    <t xml:space="preserve">ACC-04</t>
  </si>
  <si>
    <t xml:space="preserve">Revisión mensual de la capacidad de la planta</t>
  </si>
  <si>
    <t xml:space="preserve">ACC-05</t>
  </si>
  <si>
    <t xml:space="preserve">Cálculo automático de temporales</t>
  </si>
  <si>
    <t xml:space="preserve">Plan Maestro › Temporales → Reserva de Ciclo Por Familia → la hace el sistema</t>
  </si>
  <si>
    <t xml:space="preserve">ACC-06</t>
  </si>
  <si>
    <t xml:space="preserve">Definir criterios ABC / estrategia</t>
  </si>
  <si>
    <t xml:space="preserve">ACC-07</t>
  </si>
  <si>
    <t xml:space="preserve">Definir acciones para el stock sin rotación</t>
  </si>
  <si>
    <t xml:space="preserve">ACC-08</t>
  </si>
  <si>
    <t xml:space="preserve">Cálculo automático de días de stock</t>
  </si>
  <si>
    <t xml:space="preserve">ACC-09</t>
  </si>
  <si>
    <t xml:space="preserve">Definir política de fecha confirmada</t>
  </si>
  <si>
    <t xml:space="preserve">ACC-10</t>
  </si>
  <si>
    <t xml:space="preserve">Análisis de atrasos de entregas</t>
  </si>
  <si>
    <t xml:space="preserve">ACC-11</t>
  </si>
  <si>
    <t xml:space="preserve">Informe automático de pedidos / cargas en riesgo</t>
  </si>
  <si>
    <t xml:space="preserve">Seguimiento y control › Seguimiento Diario Cumplimiento Servicio → la hace el sistema</t>
  </si>
  <si>
    <t xml:space="preserve">Previsión de papel de Ondupack</t>
  </si>
  <si>
    <t xml:space="preserve">Joan Carles Girones Campaña (con Angélica, Ondupack)</t>
  </si>
  <si>
    <t xml:space="preserve">Previsión de los clientes externos repetitivos</t>
  </si>
  <si>
    <t xml:space="preserve">Política de llenado de capacidad</t>
  </si>
  <si>
    <t xml:space="preserve">Decisión con Dirección.</t>
  </si>
  <si>
    <t xml:space="preserve">Revisión mensual de capacidad y ciclos</t>
  </si>
  <si>
    <t xml:space="preserve">Pull system con Ondupack, con mínimo y máximo por referencia</t>
  </si>
  <si>
    <t xml:space="preserve">Se acuerda con Angélica (Ondupack).</t>
  </si>
  <si>
    <t xml:space="preserve">MRP de materias primas en SAP</t>
  </si>
  <si>
    <t xml:space="preserve">MRP › MRP de materias primas en Excel → la hace el sistema</t>
  </si>
  <si>
    <t xml:space="preserve">Algoritmo con lo ya fabricado y fecha límite de cartera</t>
  </si>
  <si>
    <t xml:space="preserve">Programación › Agrupar por calidad y ancho → desaparece; Algoritmo de combinación por ciclos → se simplifica</t>
  </si>
  <si>
    <t xml:space="preserve">Disponibilidad de material por orden</t>
  </si>
  <si>
    <t xml:space="preserve">Liberación de la Orden › Comprobar a mano que hay material → la hace el sistema</t>
  </si>
  <si>
    <t xml:space="preserve">Pilar de servicio semanal</t>
  </si>
  <si>
    <t xml:space="preserve">KPI de servicio</t>
  </si>
  <si>
    <t xml:space="preserve">Visibilidad de stock y cargas para Ondupack</t>
  </si>
  <si>
    <t xml:space="preserve">Entregas a Ondupack y Cierre › Enviar el stock a Ondupack cada día → desaparece</t>
  </si>
  <si>
    <t xml:space="preserve">Integración de las referencias/clientes que vayan por previsión en GIO</t>
  </si>
  <si>
    <t xml:space="preserve">Registro de la demanda perdida en GIO</t>
  </si>
  <si>
    <t xml:space="preserve">Entrada de Pedidos y Fecha › nueva tarea «Registro de la demanda perdida» → la hace el sistema</t>
  </si>
  <si>
    <t xml:space="preserve">Revisión mensual de capacidad y cuellos de botella</t>
  </si>
  <si>
    <t xml:space="preserve">Necesidad de papel calculada desde el plan</t>
  </si>
  <si>
    <t xml:space="preserve">Papel y Auxiliares › Necesidad de papel por consumo pasado → la hace el sistema</t>
  </si>
  <si>
    <t xml:space="preserve">Stock de papel fiable sin esperar al inventario mensual</t>
  </si>
  <si>
    <t xml:space="preserve">Previsión de papel compartida con MGT/PDA/PAPRESA</t>
  </si>
  <si>
    <t xml:space="preserve">Algoritmo de combinación</t>
  </si>
  <si>
    <t xml:space="preserve">Onduladora › Combinación y secuencia de onduladora → se simplifica; Cartera › Agrupar pedidos repetitivos → la hace el sistema</t>
  </si>
  <si>
    <t xml:space="preserve">Ya está en el plan de sistemas.</t>
  </si>
  <si>
    <t xml:space="preserve">KPI oficial de servicio</t>
  </si>
  <si>
    <t xml:space="preserve">Lo decide Dirección con Comercial.</t>
  </si>
  <si>
    <t xml:space="preserve">Reunión semanal con KPIs y causas</t>
  </si>
  <si>
    <t xml:space="preserve">Copiloto de estado de pedidos</t>
  </si>
  <si>
    <t xml:space="preserve">Seguimiento del Servicio › Seguimiento de fechas atrasadas → se simplifica</t>
  </si>
  <si>
    <t xml:space="preserve">Intervenciones de agentes · campos del formulario</t>
  </si>
  <si>
    <t xml:space="preserve">Qué le pasa a la caja: «reduce» (−30 % de dedicación por defecto; se ajusta en el lienzo). Confianza: EST. Responsable de la intervención: vacío, lo lleva el owner. Problema, cómo funciona hoy y resultado de INT-01 en Ondupet son los que ya escribiste.</t>
  </si>
  <si>
    <t xml:space="preserve">Caja</t>
  </si>
  <si>
    <t xml:space="preserve">Tareas del as-is y qué les pasa</t>
  </si>
  <si>
    <t xml:space="preserve">Problema</t>
  </si>
  <si>
    <t xml:space="preserve">Cómo funciona hoy</t>
  </si>
  <si>
    <t xml:space="preserve">Qué queremos cambiar (para el comité)</t>
  </si>
  <si>
    <t xml:space="preserve">Después: cómo se llama la tarea</t>
  </si>
  <si>
    <t xml:space="preserve">Tareas nuevas que añade (quién la hace)</t>
  </si>
  <si>
    <t xml:space="preserve">Cobertura objetivo %</t>
  </si>
  <si>
    <t xml:space="preserve">Excepción humana objetivo %</t>
  </si>
  <si>
    <t xml:space="preserve">Resultado esperado</t>
  </si>
  <si>
    <t xml:space="preserve">Criterio de éxito</t>
  </si>
  <si>
    <t xml:space="preserve">Desde</t>
  </si>
  <si>
    <t xml:space="preserve">Hasta (go-live)</t>
  </si>
  <si>
    <t xml:space="preserve">INT-01</t>
  </si>
  <si>
    <t xml:space="preserve">Análisis de las desviaciones de la demanda</t>
  </si>
  <si>
    <t xml:space="preserve">Comprobación de Accuracy Mes en Curso → la ejecuta un agente (toda la tarea) · ¿Buen % de Accuracy? → la ejecuta un agente · Corrección Previsiones Futuros Meses → la ejecuta un agente (solo una parte: propone, Comercial aprueba)</t>
  </si>
  <si>
    <t xml:space="preserve">Seguimiento manual de las posibles desviaciones de previsión del mes en curso; llegamos tarde a la corrección, así que se fabrica material por encima o por debajo de su necesidad y hay roturas.</t>
  </si>
  <si>
    <t xml:space="preserve">Seguimiento diario en GIO de lo expedido frente a la previsión del mes en curso.</t>
  </si>
  <si>
    <t xml:space="preserve">El agente compara cada día lo expedido con la previsión, detecta las familias que se desvían y propone la corrección de los meses siguientes con su causa; Planificación y Comercial la aprueban.</t>
  </si>
  <si>
    <t xml:space="preserve">Comprobación de Accuracy → «Desviaciones detectadas por el agente» · Corrección Previsiones Futuros Meses → «Aprobar la corrección propuesta»</t>
  </si>
  <si>
    <t xml:space="preserve">Revisar las familias que el agente marca como dudosas — persona (Planificación)</t>
  </si>
  <si>
    <t xml:space="preserve">Disminución del % de roturas y sobrestock que tenemos actualmente</t>
  </si>
  <si>
    <t xml:space="preserve">≥ 80 % de las propuestas aceptadas sin rehacer y sesgo dentro del umbral 3 meses seguidos.</t>
  </si>
  <si>
    <t xml:space="preserve">INT-02</t>
  </si>
  <si>
    <t xml:space="preserve">Propuestas de balanceo</t>
  </si>
  <si>
    <t xml:space="preserve">Plan de Fabricación → Decisión de turnos y balanceo de materiales → la ejecuta un agente (solo una parte: propone, Planificación decide)</t>
  </si>
  <si>
    <t xml:space="preserve">Los turnos y el balanceo entre extrusión y termoformado se deciden sin cruzar carga y capacidad: entran necesidades que no caben o quedan líneas ociosas.</t>
  </si>
  <si>
    <t xml:space="preserve">El planificador decide turnos y reparto de carga a mano, por experiencia, al preparar el plan de fabricación.</t>
  </si>
  <si>
    <t xml:space="preserve">Un agente propone cada mes el reparto de turnos y de carga por línea con su impacto en horas y €; Planificación lo aprueba en la revisión de capacidad.</t>
  </si>
  <si>
    <t xml:space="preserve">Decisión de turnos y balanceo → «Aprobar el plan de turnos propuesto»</t>
  </si>
  <si>
    <t xml:space="preserve">Revisar los escenarios que el agente marca como de riesgo — persona (Planificación)</t>
  </si>
  <si>
    <t xml:space="preserve">Cada mes hay un plan de capacidad propuesto con su coste, listo para decidir.</t>
  </si>
  <si>
    <t xml:space="preserve">≥ 70 % de los planes aprobados sin rehacer; horas extra no planificadas a la baja 3 meses seguidos.</t>
  </si>
  <si>
    <t xml:space="preserve">INT-03</t>
  </si>
  <si>
    <t xml:space="preserve">Propuesta de fechas de entrega viables para los pedidos y notas de carga</t>
  </si>
  <si>
    <t xml:space="preserve">Cartera Pedidos → la ejecuta un agente (solo una parte: propone fecha y notas de carga)</t>
  </si>
  <si>
    <t xml:space="preserve">Se mantiene la fecha del cliente aunque se sabe que no se llega, la cartera se revisa por separado en Comercial y en Planificación y las notas de carga se preparan a mano.</t>
  </si>
  <si>
    <t xml:space="preserve">Revisión diaria de la cartera en GIO por Comercial y por Planificación; las fechas no se cambian y las cargas se preparan a mano.</t>
  </si>
  <si>
    <t xml:space="preserve">Un agente propone para cada pedido una fecha viable con la capacidad y los temporales y prepara las notas de carga; Comercial confirma la fecha al cliente por O2C.</t>
  </si>
  <si>
    <t xml:space="preserve">Cartera Pedidos → «Revisar fechas y notas de carga propuestas»</t>
  </si>
  <si>
    <t xml:space="preserve">Confirmar la nueva fecha al cliente — persona (Comercial, por O2C)</t>
  </si>
  <si>
    <t xml:space="preserve">La fecha se propone con datos, no se teclea la que pide el cliente.</t>
  </si>
  <si>
    <t xml:space="preserve">≥ 85 % de las fechas aceptadas sin cambios y OTIF a fecha confirmada en objetivo.</t>
  </si>
  <si>
    <t xml:space="preserve">INT-04</t>
  </si>
  <si>
    <t xml:space="preserve">Determinación de urgencias</t>
  </si>
  <si>
    <t xml:space="preserve">¿Cambios de última hora? → la ejecuta un agente (calcula el impacto) · Recuenciar urgencias y prioridades → la ejecuta un agente (solo una parte: propone la nueva secuencia)</t>
  </si>
  <si>
    <t xml:space="preserve">Las urgencias llegan por teléfono y se resecuencian a mano, sin zona congelada ni reglas; si no hay acuerdo, decide el director de planta.</t>
  </si>
  <si>
    <t xml:space="preserve">El planificador recibe la llamada, revisa a mano el programa en GIO y resecuencia.</t>
  </si>
  <si>
    <t xml:space="preserve">Un agente calcula el impacto de cada urgencia (pedidos que se retrasan y cambios extra), aplica las reglas de prioridad y propone la decisión; solo los conflictos llegan a dirección.</t>
  </si>
  <si>
    <t xml:space="preserve">¿Cambios de última hora? → «Impacto de la urgencia calculado» · Recuenciar urgencias → «Aprobar la secuencia propuesta»</t>
  </si>
  <si>
    <t xml:space="preserve">Decidir los conflictos que el agente escala — persona (dirección de planta)</t>
  </si>
  <si>
    <t xml:space="preserve">Cada urgencia se decide con su impacto delante.</t>
  </si>
  <si>
    <t xml:space="preserve">100 % de las urgencias con impacto calculado y −50 % de escalados.</t>
  </si>
  <si>
    <t xml:space="preserve">Agente de escenarios de ciclo</t>
  </si>
  <si>
    <t xml:space="preserve">Carga a capacidad infinita · 3 turnos a velocidad máxima → la ejecuta un agente (solo una parte: propone el ciclo y su duración)</t>
  </si>
  <si>
    <t xml:space="preserve">Se carga a capacidad infinita, la máquina trabaja siempre a 3 turnos y la duración de cada calidad se ajusta sobre la marcha.</t>
  </si>
  <si>
    <t xml:space="preserve">Joan Carles fija a mano el ciclo de las 4 calidades y su duración con la cartera, y revisa con Comercial los pedidos que no caben.</t>
  </si>
  <si>
    <t xml:space="preserve">Un agente simula la duración y el orden de las calidades, las paradas y el stock, y propone el ciclo con su coste; Planificación decide.</t>
  </si>
  <si>
    <t xml:space="preserve">Carga a capacidad infinita → «Ciclo propuesto con su coste»</t>
  </si>
  <si>
    <t xml:space="preserve">Aprobar el ciclo — persona (Joan Carles con Comercial)</t>
  </si>
  <si>
    <t xml:space="preserve">Cada ciclo llega con un plan propuesto y valorado.</t>
  </si>
  <si>
    <t xml:space="preserve">≥ 70 % de los planes aprobados sin rehacer.</t>
  </si>
  <si>
    <t xml:space="preserve">Agente de stock intercompany</t>
  </si>
  <si>
    <t xml:space="preserve">Nueva tarea «Revisión mensual del stock intercompany» → la ejecuta un agente</t>
  </si>
  <si>
    <t xml:space="preserve">Se acumula stock de Ondupack en MGT, sin límite ni revisión.</t>
  </si>
  <si>
    <t xml:space="preserve">Ondupack retira poco a poco lo fabricado y nadie revisa la cobertura de sus referencias en MGT.</t>
  </si>
  <si>
    <t xml:space="preserve">Un agente revisa cada mes la cobertura de las referencias de Ondupack en MGT, propone mínimos y máximos y avisa del stock sin salida.</t>
  </si>
  <si>
    <t xml:space="preserve">Revisión mensual del stock intercompany → la ejecuta el agente</t>
  </si>
  <si>
    <t xml:space="preserve">Aprobar mínimos y máximos — persona (Joan Carles con Angélica, Ondupack)</t>
  </si>
  <si>
    <t xml:space="preserve">El stock intercompany se ajusta antes de que envejezca.</t>
  </si>
  <si>
    <t xml:space="preserve">€ de stock intercompany −20 % en 6 meses sin roturas en referencias pull.</t>
  </si>
  <si>
    <t xml:space="preserve">Copiloto de plazos para Comercial</t>
  </si>
  <si>
    <t xml:space="preserve">Revisar capacidad para la fecha pedida → la ejecuta un agente (solo una parte: responde la consulta de plazo)</t>
  </si>
  <si>
    <t xml:space="preserve">No se propone fecha al entrar el pedido: Joan Carles revisa la capacidad a mano y además hace de atención al cliente.</t>
  </si>
  <si>
    <t xml:space="preserve">El cliente pide una fecha y Joan Carles comprueba a mano si hay capacidad y le responde.</t>
  </si>
  <si>
    <t xml:space="preserve">Comercial pregunta al copiloto cuándo sale la próxima tirada de una calidad y ancho y responde al cliente sin pasar por Planificación.</t>
  </si>
  <si>
    <t xml:space="preserve">Revisar capacidad para la fecha pedida → «Consulta de plazo resuelta por el copiloto»</t>
  </si>
  <si>
    <t xml:space="preserve">Atender las consultas que el copiloto no resuelve — persona (Joan Carles)</t>
  </si>
  <si>
    <t xml:space="preserve">Comercial resuelve sola las consultas de plazo.</t>
  </si>
  <si>
    <t xml:space="preserve">−60 % de consultas de plazo a Planificación.</t>
  </si>
  <si>
    <t xml:space="preserve">Agente de compras de materiales</t>
  </si>
  <si>
    <t xml:space="preserve">MRP de materias primas en Excel → la ejecuta un agente (solo una parte: revisa los mensajes del MRP) · Solicitud de compra y pedido → la ejecuta un agente (solo una parte: prepara la solped)</t>
  </si>
  <si>
    <t xml:space="preserve">El MRP de materias primas vive en un Excel, el de auxiliares se descuadra y las solicitudes de compra se preparan a mano.</t>
  </si>
  <si>
    <t xml:space="preserve">Marta Boyo calcula las materias primas en Excel con la planificación de Joan Carles; Joan Carles lanza el MRP de auxiliares en SAP y crea las solped y los pedidos.</t>
  </si>
  <si>
    <t xml:space="preserve">Un agente revisa cada día los mensajes del MRP, propone las solicitudes de compra y avisa de los consumos que se separan del plan; Marta Boyo y Joan Carles aprueban.</t>
  </si>
  <si>
    <t xml:space="preserve">MRP de materias primas en Excel → «Mensajes del MRP revisados por el agente» · Solicitud de compra y pedido → «Aprobar la solped propuesta»</t>
  </si>
  <si>
    <t xml:space="preserve">Revisar los consumos fuera de plan que marca el agente — persona (Marta Boyo)</t>
  </si>
  <si>
    <t xml:space="preserve">Las solicitudes de compra salen preparadas y solo se revisan las excepciones.</t>
  </si>
  <si>
    <t xml:space="preserve">≥ 80 % de las solicitudes propuestas aceptadas sin cambios.</t>
  </si>
  <si>
    <t xml:space="preserve">INT-05</t>
  </si>
  <si>
    <t xml:space="preserve">Agente de urgencias</t>
  </si>
  <si>
    <t xml:space="preserve">Encajar la urgencia a mano → la ejecuta un agente (solo una parte: propone si cabe y qué mueve)</t>
  </si>
  <si>
    <t xml:space="preserve">Las urgencias, también las de Ondupack fuera de plazo, se encajan a mano, sin alertas ni reglas.</t>
  </si>
  <si>
    <t xml:space="preserve">Joan Carles revisa a mano si la urgencia cabe en lo planificado y, si hay varias comprometidas, lo negocia con Comercial.</t>
  </si>
  <si>
    <t xml:space="preserve">Un agente comprueba si la urgencia cabe en el ciclo y qué pedidos y combinaciones afecta, y propone la decisión según las reglas.</t>
  </si>
  <si>
    <t xml:space="preserve">Encajar la urgencia a mano → «Aprobar la propuesta del agente»</t>
  </si>
  <si>
    <t xml:space="preserve">Decidir con Comercial los conflictos que el agente escala — persona (Joan Carles)</t>
  </si>
  <si>
    <t xml:space="preserve">100 % de las urgencias con impacto calculado.</t>
  </si>
  <si>
    <t xml:space="preserve">INT-06</t>
  </si>
  <si>
    <t xml:space="preserve">Agente de coordinación de cargas con Ondupack</t>
  </si>
  <si>
    <t xml:space="preserve">Enviar el stock a Ondupack cada día → la ejecuta un agente (toda la tarea) · Ondupack decide qué se carga al día siguiente → la ejecuta un agente (solo una parte: propone la carga)</t>
  </si>
  <si>
    <t xml:space="preserve">La coordinación diaria de entregas con Ondupack lleva unos 16 correos al día.</t>
  </si>
  <si>
    <t xml:space="preserve">Cada día Joan Carles envía el stock a Ondupack por correo y Ondupack contesta qué cargar al día siguiente.</t>
  </si>
  <si>
    <t xml:space="preserve">Un agente lee las peticiones de Ondupack, comprueba stock y plan y propone la carga del día dentro del mínimo y máximo; Joan Carles aprueba.</t>
  </si>
  <si>
    <t xml:space="preserve">Enviar el stock a Ondupack cada día → desaparece · Ondupack decide qué se carga → «Aprobar la carga propuesta»</t>
  </si>
  <si>
    <t xml:space="preserve">Resolver las peticiones de Ondupack que no encajan en el mínimo y máximo — persona (Joan Carles)</t>
  </si>
  <si>
    <t xml:space="preserve">La coordinación diaria con Ondupack sale preparada y solo se revisan las excepciones.</t>
  </si>
  <si>
    <t xml:space="preserve">≥ 80 % de las cargas propuestas aceptadas sin cambios.</t>
  </si>
  <si>
    <t xml:space="preserve">Agente de escenarios de capacidad</t>
  </si>
  <si>
    <t xml:space="preserve">Carga frente a capacidad con escenarios de 2 a 5 turnos → la ejecuta un agente (prepara los escenarios) · Replanificar ruta, fecha o turnos → la ejecuta un agente (solo una parte: propone, Planificación decide)</t>
  </si>
  <si>
    <t xml:space="preserve">La 924 no alcanza los metros planificados y la sobresaturación se ve tarde, por las fechas o porque se llena el almacén intermedio.</t>
  </si>
  <si>
    <t xml:space="preserve">Planificación compara a mano escenarios de 2 a 5 turnos en la carga-capacidad de GIO y replanifica ruta, fecha o turnos cuando hay saturación.</t>
  </si>
  <si>
    <t xml:space="preserve">Un agente simula turnos, rutas alternativas para descargar la 924 y agrupaciones, y propone el plan con su impacto; Planificación decide.</t>
  </si>
  <si>
    <t xml:space="preserve">Replanificar ruta, fecha o turnos → «Aprobar el plan de capacidad propuesto»</t>
  </si>
  <si>
    <t xml:space="preserve">Revisar los escenarios de riesgo de la 924 — persona (Planificación con Producción)</t>
  </si>
  <si>
    <t xml:space="preserve">Cada saturación llega con un plan propuesto y valorado.</t>
  </si>
  <si>
    <t xml:space="preserve">Faltas de materia prima</t>
  </si>
  <si>
    <t xml:space="preserve">Necesidad de papel por consumo pasado → la ejecuta un agente (solo una parte: revisa las faltas por orden y propone la acción)</t>
  </si>
  <si>
    <t xml:space="preserve">La falta de materia prima es el primer problema de la planta: las faltas se ven tarde y se resuelven a mano entre Planificación y Compras.</t>
  </si>
  <si>
    <t xml:space="preserve">El papel se pide por consumo pasado y GIO solo ve su stock; las faltas aparecen al liberar y se autorizan a mano con Compras.</t>
  </si>
  <si>
    <t xml:space="preserve">Un agente revisa cada día las faltas por orden y propone la acción (adelantar el pedido a MGT, un sustituto aprobado o mover la orden); Planificación y Compras deciden.</t>
  </si>
  <si>
    <t xml:space="preserve">Necesidad de papel → «Faltas por orden con acción propuesta»</t>
  </si>
  <si>
    <t xml:space="preserve">Aprobar la acción ante cada falta — persona (Planificación y Compras)</t>
  </si>
  <si>
    <t xml:space="preserve">Cada falta llega a Planificación con la solución propuesta.</t>
  </si>
  <si>
    <t xml:space="preserve">≥ 80 % de las propuestas aceptadas y −30 % de horas de máquina paradas por falta de materia prima.</t>
  </si>
  <si>
    <t xml:space="preserve">Agente de urgencias y cambios</t>
  </si>
  <si>
    <t xml:space="preserve">¿Alerta o cambio de ruta o fecha? → la ejecuta un agente (calcula el impacto) · Replanificar ruta o fecha → la ejecuta un agente (solo una parte: propone)</t>
  </si>
  <si>
    <t xml:space="preserve">Los cambios del cliente se aceptan por email hasta que el pedido se fabrica y las urgencias se resuelven llamando, sin registrar la causa.</t>
  </si>
  <si>
    <t xml:space="preserve">Planificación recibe el cambio, lo encaja a mano en la secuencia de GIO y recalcula las fechas de canal y troquelado.</t>
  </si>
  <si>
    <t xml:space="preserve">Un agente calcula el impacto de cada cambio o urgencia (pedidos desplazados, cambios extra, saturación del intermedio) y propone la decisión según el criterio de urgencia.</t>
  </si>
  <si>
    <t xml:space="preserve">Replanificar ruta o fecha → «Aprobar el cambio con su impacto»</t>
  </si>
  <si>
    <t xml:space="preserve">Decidir los conflictos que el agente escala — persona (Planificación con Comercial)</t>
  </si>
  <si>
    <t xml:space="preserve">Agente de causa raíz</t>
  </si>
  <si>
    <t xml:space="preserve">Seguimiento de fechas atrasadas → la ejecuta un agente (solo una parte: clasifica la causa y propone la acción)</t>
  </si>
  <si>
    <t xml:space="preserve">Los atrasos y las reprogramaciones no tienen causa registrada, así que se repiten.</t>
  </si>
  <si>
    <t xml:space="preserve">Las fechas atrasadas se ven en rojo en GIO y se revisan en la reunión semanal, sin clasificar la causa.</t>
  </si>
  <si>
    <t xml:space="preserve">Un agente clasifica cada atraso por causa (velocidad, OEE, falta de papel, cambio del cliente o saturación) y propone la acción y el ajuste de parámetros; Planificación aprueba.</t>
  </si>
  <si>
    <t xml:space="preserve">Seguimiento de fechas atrasadas → «Atrasos con causa y acción propuesta»</t>
  </si>
  <si>
    <t xml:space="preserve">Aprobar la acción y el ajuste de parámetros — persona (Planificación)</t>
  </si>
  <si>
    <t xml:space="preserve">Cada atraso deja una corrección propuesta y las causas dejan de repetirse.</t>
  </si>
  <si>
    <t xml:space="preserve">≥ 90 % de los atrasos con causa y causas repetidas −30 % en 6 meses.</t>
  </si>
</sst>
</file>

<file path=xl/styles.xml><?xml version="1.0" encoding="utf-8"?>
<styleSheet xmlns="http://schemas.openxmlformats.org/spreadsheetml/2006/main">
  <numFmts count="8">
    <numFmt numFmtId="164" formatCode="General"/>
    <numFmt numFmtId="165" formatCode="General"/>
    <numFmt numFmtId="166" formatCode="#,##0"/>
    <numFmt numFmtId="167" formatCode="#,##0.0"/>
    <numFmt numFmtId="168" formatCode="0%"/>
    <numFmt numFmtId="169" formatCode="0"/>
    <numFmt numFmtId="170" formatCode="#,##0&quot; €&quot;"/>
    <numFmt numFmtId="171" formatCode="dd/mm/yyyy"/>
  </numFmts>
  <fonts count="13">
    <font>
      <sz val="11"/>
      <color theme="1"/>
      <name val="Calibri"/>
      <family val="2"/>
      <charset val="1"/>
    </font>
    <font>
      <sz val="10"/>
      <name val="Arial"/>
      <family val="0"/>
    </font>
    <font>
      <sz val="10"/>
      <name val="Arial"/>
      <family val="0"/>
    </font>
    <font>
      <sz val="10"/>
      <name val="Arial"/>
      <family val="0"/>
    </font>
    <font>
      <b val="true"/>
      <sz val="14"/>
      <color rgb="FF00263A"/>
      <name val="Arial"/>
      <family val="0"/>
      <charset val="1"/>
    </font>
    <font>
      <i val="true"/>
      <sz val="9"/>
      <color rgb="FF5B6B78"/>
      <name val="Arial"/>
      <family val="0"/>
      <charset val="1"/>
    </font>
    <font>
      <b val="true"/>
      <sz val="10"/>
      <color rgb="FFFFFFFF"/>
      <name val="Arial"/>
      <family val="0"/>
      <charset val="1"/>
    </font>
    <font>
      <sz val="10"/>
      <color rgb="FF00263A"/>
      <name val="Arial"/>
      <family val="0"/>
      <charset val="1"/>
    </font>
    <font>
      <b val="true"/>
      <sz val="10"/>
      <color rgb="FF00263A"/>
      <name val="Arial"/>
      <family val="0"/>
      <charset val="1"/>
    </font>
    <font>
      <sz val="10"/>
      <color rgb="FF00263A"/>
      <name val="Consolas"/>
      <family val="0"/>
      <charset val="1"/>
    </font>
    <font>
      <sz val="9"/>
      <color rgb="FF7A8794"/>
      <name val="Arial"/>
      <family val="0"/>
      <charset val="1"/>
    </font>
    <font>
      <b val="true"/>
      <sz val="11"/>
      <color rgb="FF00263A"/>
      <name val="Arial"/>
      <family val="0"/>
      <charset val="1"/>
    </font>
    <font>
      <i val="true"/>
      <sz val="10"/>
      <color rgb="FF7A8794"/>
      <name val="Arial"/>
      <family val="0"/>
      <charset val="1"/>
    </font>
  </fonts>
  <fills count="4">
    <fill>
      <patternFill patternType="none"/>
    </fill>
    <fill>
      <patternFill patternType="gray125"/>
    </fill>
    <fill>
      <patternFill patternType="solid">
        <fgColor rgb="FF00263A"/>
        <bgColor rgb="FF003300"/>
      </patternFill>
    </fill>
    <fill>
      <patternFill patternType="solid">
        <fgColor rgb="FFEAF3FA"/>
        <bgColor rgb="FFFFFFFF"/>
      </patternFill>
    </fill>
  </fills>
  <borders count="3">
    <border diagonalUp="false" diagonalDown="false">
      <left/>
      <right/>
      <top/>
      <bottom/>
      <diagonal/>
    </border>
    <border diagonalUp="false" diagonalDown="false">
      <left style="thin">
        <color rgb="FFD7DFE5"/>
      </left>
      <right style="thin">
        <color rgb="FFD7DFE5"/>
      </right>
      <top style="thin">
        <color rgb="FFD7DFE5"/>
      </top>
      <bottom style="thin">
        <color rgb="FFD7DFE5"/>
      </bottom>
      <diagonal/>
    </border>
    <border diagonalUp="false" diagonalDown="false">
      <left style="thin">
        <color rgb="FFD7DFE5"/>
      </left>
      <right style="thin">
        <color rgb="FFD7DFE5"/>
      </right>
      <top style="medium">
        <color rgb="FF00263A"/>
      </top>
      <bottom style="thin">
        <color rgb="FFD7DFE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center" vertical="top" textRotation="0" wrapText="true" indent="0" shrinkToFit="false"/>
      <protection locked="true" hidden="false"/>
    </xf>
    <xf numFmtId="166" fontId="7" fillId="0" borderId="1" xfId="0" applyFont="true" applyBorder="true" applyAlignment="true" applyProtection="false">
      <alignment horizontal="center" vertical="top" textRotation="0" wrapText="true" indent="0" shrinkToFit="false"/>
      <protection locked="true" hidden="false"/>
    </xf>
    <xf numFmtId="167" fontId="7" fillId="0" borderId="1" xfId="0" applyFont="true" applyBorder="true" applyAlignment="true" applyProtection="false">
      <alignment horizontal="center" vertical="top" textRotation="0" wrapText="true" indent="0" shrinkToFit="false"/>
      <protection locked="true" hidden="false"/>
    </xf>
    <xf numFmtId="168" fontId="7" fillId="0" borderId="1" xfId="0" applyFont="true" applyBorder="true" applyAlignment="true" applyProtection="false">
      <alignment horizontal="center" vertical="top" textRotation="0" wrapText="true" indent="0" shrinkToFit="false"/>
      <protection locked="true" hidden="false"/>
    </xf>
    <xf numFmtId="166" fontId="8" fillId="0" borderId="1" xfId="0" applyFont="true" applyBorder="true" applyAlignment="true" applyProtection="false">
      <alignment horizontal="center" vertical="top" textRotation="0" wrapText="true" indent="0" shrinkToFit="false"/>
      <protection locked="true" hidden="false"/>
    </xf>
    <xf numFmtId="167" fontId="8" fillId="0" borderId="1" xfId="0" applyFont="true" applyBorder="true" applyAlignment="true" applyProtection="false">
      <alignment horizontal="center" vertical="top" textRotation="0" wrapText="true" indent="0" shrinkToFit="false"/>
      <protection locked="true" hidden="false"/>
    </xf>
    <xf numFmtId="169" fontId="7"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left" vertical="bottom" textRotation="0" wrapText="false" indent="0" shrinkToFit="false"/>
      <protection locked="true" hidden="false"/>
    </xf>
    <xf numFmtId="170" fontId="11" fillId="0" borderId="0" xfId="0" applyFont="true" applyBorder="false" applyAlignment="true" applyProtection="false">
      <alignment horizontal="left" vertical="bottom" textRotation="0" wrapText="false" indent="0" shrinkToFit="false"/>
      <protection locked="true" hidden="false"/>
    </xf>
    <xf numFmtId="164" fontId="8" fillId="3" borderId="2" xfId="0" applyFont="true" applyBorder="true" applyAlignment="true" applyProtection="false">
      <alignment horizontal="general" vertical="top" textRotation="0" wrapText="true" indent="0" shrinkToFit="false"/>
      <protection locked="true" hidden="false"/>
    </xf>
    <xf numFmtId="164" fontId="7" fillId="3" borderId="2" xfId="0" applyFont="true" applyBorder="true" applyAlignment="true" applyProtection="false">
      <alignment horizontal="general" vertical="top" textRotation="0" wrapText="tru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4" fontId="7" fillId="0" borderId="2" xfId="0" applyFont="true" applyBorder="true" applyAlignment="true" applyProtection="false">
      <alignment horizontal="center" vertical="top" textRotation="0" wrapText="true" indent="0" shrinkToFit="false"/>
      <protection locked="true" hidden="false"/>
    </xf>
    <xf numFmtId="170" fontId="7" fillId="0" borderId="2" xfId="0" applyFont="true" applyBorder="true" applyAlignment="true" applyProtection="false">
      <alignment horizontal="center" vertical="top" textRotation="0" wrapText="true" indent="0" shrinkToFit="false"/>
      <protection locked="true" hidden="false"/>
    </xf>
    <xf numFmtId="170" fontId="7" fillId="0" borderId="1" xfId="0" applyFont="true" applyBorder="true" applyAlignment="true" applyProtection="false">
      <alignment horizontal="center"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center" vertical="top" textRotation="0" wrapText="true" indent="0" shrinkToFit="false"/>
      <protection locked="true" hidden="false"/>
    </xf>
    <xf numFmtId="171" fontId="7"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00263A"/>
          <bgColor rgb="FF000000"/>
        </patternFill>
      </fill>
    </dxf>
    <dxf>
      <fill>
        <patternFill patternType="solid">
          <bgColor rgb="FF000000"/>
        </patternFill>
      </fill>
    </dxf>
    <dxf>
      <fill>
        <patternFill patternType="solid">
          <fgColor rgb="FFFFFFFF"/>
          <bgColor rgb="FF000000"/>
        </patternFill>
      </fill>
    </dxf>
    <dxf>
      <fill>
        <patternFill patternType="solid">
          <fgColor rgb="FFFCE4E4"/>
          <bgColor rgb="FF000000"/>
        </patternFill>
      </fill>
    </dxf>
    <dxf>
      <fill>
        <patternFill patternType="solid">
          <fgColor rgb="FFB42318"/>
          <bgColor rgb="FF000000"/>
        </patternFill>
      </fill>
    </dxf>
    <dxf>
      <font>
        <name val="Arial"/>
        <charset val="1"/>
        <family val="0"/>
        <b val="1"/>
        <color rgb="FFB42318"/>
      </font>
      <fill>
        <patternFill>
          <bgColor rgb="FFFCE4E4"/>
        </patternFill>
      </fill>
    </dxf>
    <dxf>
      <fill>
        <patternFill patternType="solid">
          <fgColor rgb="FFFFF1D6"/>
          <bgColor rgb="FF000000"/>
        </patternFill>
      </fill>
    </dxf>
    <dxf>
      <fill>
        <patternFill>
          <bgColor rgb="FFFFF1D6"/>
        </patternFill>
      </fill>
    </dxf>
    <dxf>
      <fill>
        <patternFill patternType="solid">
          <fgColor rgb="FF7A8794"/>
          <bgColor rgb="FF000000"/>
        </patternFill>
      </fill>
    </dxf>
    <dxf>
      <fill>
        <patternFill>
          <bgColor rgb="FFFCE4E4"/>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A8794"/>
      <rgbColor rgb="FF9999FF"/>
      <rgbColor rgb="FF993366"/>
      <rgbColor rgb="FFFFF1D6"/>
      <rgbColor rgb="FFEAF3FA"/>
      <rgbColor rgb="FF660066"/>
      <rgbColor rgb="FFFF8080"/>
      <rgbColor rgb="FF0066CC"/>
      <rgbColor rgb="FFD7DFE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E4"/>
      <rgbColor rgb="FF3366FF"/>
      <rgbColor rgb="FF33CCCC"/>
      <rgbColor rgb="FF99CC00"/>
      <rgbColor rgb="FFFFCC00"/>
      <rgbColor rgb="FFFF9900"/>
      <rgbColor rgb="FFFF6600"/>
      <rgbColor rgb="FF5B6B78"/>
      <rgbColor rgb="FF969696"/>
      <rgbColor rgb="FF00263A"/>
      <rgbColor rgb="FF339966"/>
      <rgbColor rgb="FF003300"/>
      <rgbColor rgb="FF333300"/>
      <rgbColor rgb="FFB42318"/>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_rels/sheet10.xml.rels><?xml version="1.0" encoding="UTF-8"?>
<Relationships xmlns="http://schemas.openxmlformats.org/package/2006/relationships"><Relationship Id="rId1" Type="http://schemas.openxmlformats.org/officeDocument/2006/relationships/drawing" Target="../drawings/drawing6.xml"/>
</Relationships>
</file>

<file path=xl/worksheets/_rels/sheet11.xml.rels><?xml version="1.0" encoding="UTF-8"?>
<Relationships xmlns="http://schemas.openxmlformats.org/package/2006/relationships"><Relationship Id="rId1" Type="http://schemas.openxmlformats.org/officeDocument/2006/relationships/drawing" Target="../drawings/drawing7.xml"/>
</Relationships>
</file>

<file path=xl/worksheets/_rels/sheet12.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40"/>
    <col collapsed="false" customWidth="true" hidden="false" outlineLevel="0" max="3" min="3" style="0" width="17"/>
    <col collapsed="false" customWidth="true" hidden="false" outlineLevel="0" max="4" min="4" style="0" width="62"/>
    <col collapsed="false" customWidth="true" hidden="false" outlineLevel="0" max="5" min="5" style="0" width="10"/>
    <col collapsed="false" customWidth="true" hidden="false" outlineLevel="0" max="6" min="6" style="0" width="16"/>
    <col collapsed="false" customWidth="true" hidden="false" outlineLevel="0" max="7" min="7" style="0" width="12"/>
    <col collapsed="false" customWidth="true" hidden="false" outlineLevel="0" max="9" min="8" style="0" width="14"/>
  </cols>
  <sheetData>
    <row r="1" customFormat="false" ht="17.35" hidden="false" customHeight="false" outlineLevel="0" collapsed="false">
      <c r="A1" s="1" t="s">
        <v>0</v>
      </c>
    </row>
    <row r="2" customFormat="false" ht="15" hidden="false" customHeight="false" outlineLevel="0" collapsed="false">
      <c r="A2" s="2" t="s">
        <v>1</v>
      </c>
    </row>
    <row r="4" customFormat="false" ht="23.85" hidden="false" customHeight="false" outlineLevel="0" collapsed="false">
      <c r="A4" s="3" t="s">
        <v>2</v>
      </c>
      <c r="B4" s="3" t="s">
        <v>3</v>
      </c>
      <c r="C4" s="3" t="s">
        <v>4</v>
      </c>
      <c r="D4" s="3" t="s">
        <v>5</v>
      </c>
      <c r="E4" s="3" t="s">
        <v>6</v>
      </c>
      <c r="F4" s="3" t="s">
        <v>7</v>
      </c>
      <c r="G4" s="3" t="s">
        <v>8</v>
      </c>
      <c r="H4" s="3" t="s">
        <v>9</v>
      </c>
      <c r="I4" s="3" t="s">
        <v>10</v>
      </c>
    </row>
    <row r="5" customFormat="false" ht="15" hidden="false" customHeight="false" outlineLevel="0" collapsed="false">
      <c r="A5" s="4" t="n">
        <v>1</v>
      </c>
      <c r="B5" s="5" t="s">
        <v>11</v>
      </c>
      <c r="C5" s="4" t="s">
        <v>12</v>
      </c>
      <c r="D5" s="5" t="s">
        <v>13</v>
      </c>
      <c r="E5" s="4" t="s">
        <v>14</v>
      </c>
      <c r="F5" s="4" t="s">
        <v>15</v>
      </c>
      <c r="G5" s="4" t="n">
        <v>7</v>
      </c>
      <c r="H5" s="4" t="n">
        <f aca="false">COUNTIF(Hallazgos!$C$5:$C$15,B5)</f>
        <v>1</v>
      </c>
      <c r="I5" s="4" t="n">
        <f aca="false">COUNTIF(Palancas!$F$5:$F$12,B5)</f>
        <v>1</v>
      </c>
    </row>
    <row r="6" customFormat="false" ht="15" hidden="false" customHeight="false" outlineLevel="0" collapsed="false">
      <c r="A6" s="4" t="n">
        <v>3</v>
      </c>
      <c r="B6" s="5" t="s">
        <v>16</v>
      </c>
      <c r="C6" s="4" t="s">
        <v>12</v>
      </c>
      <c r="D6" s="5" t="s">
        <v>17</v>
      </c>
      <c r="E6" s="4" t="s">
        <v>14</v>
      </c>
      <c r="F6" s="4" t="s">
        <v>15</v>
      </c>
      <c r="G6" s="4" t="n">
        <v>7</v>
      </c>
      <c r="H6" s="4" t="n">
        <f aca="false">COUNTIF(Hallazgos!$C$5:$C$15,B6)</f>
        <v>3</v>
      </c>
      <c r="I6" s="4" t="n">
        <f aca="false">COUNTIF(Palancas!$F$5:$F$12,B6)</f>
        <v>3</v>
      </c>
    </row>
    <row r="7" customFormat="false" ht="15" hidden="false" customHeight="false" outlineLevel="0" collapsed="false">
      <c r="A7" s="4" t="n">
        <v>5</v>
      </c>
      <c r="B7" s="5" t="s">
        <v>18</v>
      </c>
      <c r="C7" s="4" t="s">
        <v>19</v>
      </c>
      <c r="D7" s="5" t="s">
        <v>20</v>
      </c>
      <c r="E7" s="4" t="s">
        <v>14</v>
      </c>
      <c r="F7" s="4" t="s">
        <v>15</v>
      </c>
      <c r="G7" s="4" t="n">
        <v>8</v>
      </c>
      <c r="H7" s="4" t="n">
        <f aca="false">COUNTIF(Hallazgos!$C$5:$C$15,B7)</f>
        <v>2</v>
      </c>
      <c r="I7" s="4" t="n">
        <f aca="false">COUNTIF(Palancas!$F$5:$F$12,B7)</f>
        <v>1</v>
      </c>
    </row>
    <row r="8" customFormat="false" ht="15" hidden="false" customHeight="false" outlineLevel="0" collapsed="false">
      <c r="A8" s="4" t="n">
        <v>6</v>
      </c>
      <c r="B8" s="5" t="s">
        <v>21</v>
      </c>
      <c r="C8" s="4" t="s">
        <v>19</v>
      </c>
      <c r="D8" s="5" t="s">
        <v>22</v>
      </c>
      <c r="E8" s="4" t="s">
        <v>14</v>
      </c>
      <c r="F8" s="4" t="s">
        <v>15</v>
      </c>
      <c r="G8" s="4" t="n">
        <v>6</v>
      </c>
      <c r="H8" s="4" t="n">
        <f aca="false">COUNTIF(Hallazgos!$C$5:$C$15,B8)</f>
        <v>2</v>
      </c>
      <c r="I8" s="4" t="n">
        <f aca="false">COUNTIF(Palancas!$F$5:$F$12,B8)</f>
        <v>1</v>
      </c>
    </row>
    <row r="9" customFormat="false" ht="15" hidden="false" customHeight="false" outlineLevel="0" collapsed="false">
      <c r="A9" s="4" t="n">
        <v>7</v>
      </c>
      <c r="B9" s="5" t="s">
        <v>23</v>
      </c>
      <c r="C9" s="4" t="s">
        <v>19</v>
      </c>
      <c r="D9" s="5" t="s">
        <v>24</v>
      </c>
      <c r="E9" s="4" t="s">
        <v>14</v>
      </c>
      <c r="F9" s="4" t="s">
        <v>15</v>
      </c>
      <c r="G9" s="4" t="n">
        <v>4</v>
      </c>
      <c r="H9" s="4" t="n">
        <f aca="false">COUNTIF(Hallazgos!$C$5:$C$15,B9)</f>
        <v>1</v>
      </c>
      <c r="I9" s="4" t="n">
        <f aca="false">COUNTIF(Palancas!$F$5:$F$12,B9)</f>
        <v>1</v>
      </c>
    </row>
    <row r="10" customFormat="false" ht="15" hidden="false" customHeight="false" outlineLevel="0" collapsed="false">
      <c r="A10" s="4" t="n">
        <v>8</v>
      </c>
      <c r="B10" s="5" t="s">
        <v>25</v>
      </c>
      <c r="C10" s="4" t="s">
        <v>19</v>
      </c>
      <c r="D10" s="5" t="s">
        <v>26</v>
      </c>
      <c r="E10" s="4" t="s">
        <v>14</v>
      </c>
      <c r="F10" s="4" t="s">
        <v>15</v>
      </c>
      <c r="G10" s="4" t="n">
        <v>9</v>
      </c>
      <c r="H10" s="4" t="n">
        <f aca="false">COUNTIF(Hallazgos!$C$5:$C$15,B10)</f>
        <v>2</v>
      </c>
      <c r="I10" s="4" t="n">
        <f aca="false">COUNTIF(Palancas!$F$5:$F$12,B10)</f>
        <v>1</v>
      </c>
    </row>
    <row r="11" customFormat="false" ht="15" hidden="false" customHeight="false" outlineLevel="0" collapsed="false">
      <c r="A11" s="6" t="s">
        <v>27</v>
      </c>
      <c r="G11" s="7" t="n">
        <f aca="false">SUM(G5:G10)</f>
        <v>41</v>
      </c>
      <c r="H11" s="7" t="n">
        <f aca="false">SUM(H5:H10)</f>
        <v>11</v>
      </c>
      <c r="I11" s="7" t="n">
        <f aca="false">SUM(I5:I10)</f>
        <v>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9"/>
    <col collapsed="false" customWidth="true" hidden="false" outlineLevel="0" max="3" min="3" style="0" width="32"/>
    <col collapsed="false" customWidth="true" hidden="false" outlineLevel="0" max="4" min="4" style="0" width="26"/>
    <col collapsed="false" customWidth="true" hidden="false" outlineLevel="0" max="5" min="5" style="0" width="44"/>
    <col collapsed="false" customWidth="true" hidden="false" outlineLevel="0" max="6" min="6" style="0" width="12"/>
    <col collapsed="false" customWidth="true" hidden="false" outlineLevel="0" max="7" min="7" style="0" width="15"/>
    <col collapsed="false" customWidth="true" hidden="false" outlineLevel="0" max="8" min="8" style="0" width="11"/>
    <col collapsed="false" customWidth="true" hidden="false" outlineLevel="0" max="9" min="9" style="0" width="12"/>
    <col collapsed="false" customWidth="true" hidden="false" outlineLevel="0" max="10" min="10" style="0" width="11"/>
    <col collapsed="false" customWidth="true" hidden="false" outlineLevel="0" max="11" min="11" style="0" width="13"/>
    <col collapsed="false" customWidth="true" hidden="false" outlineLevel="0" max="12" min="12" style="0" width="12"/>
    <col collapsed="false" customWidth="true" hidden="false" outlineLevel="0" max="13" min="13" style="0" width="11"/>
    <col collapsed="false" customWidth="true" hidden="false" outlineLevel="0" max="14" min="14" style="0" width="18"/>
  </cols>
  <sheetData>
    <row r="1" customFormat="false" ht="17.35" hidden="false" customHeight="false" outlineLevel="0" collapsed="false">
      <c r="A1" s="1" t="s">
        <v>28</v>
      </c>
    </row>
    <row r="2" customFormat="false" ht="15" hidden="false" customHeight="false" outlineLevel="0" collapsed="false">
      <c r="A2" s="2" t="s">
        <v>29</v>
      </c>
    </row>
    <row r="4" customFormat="false" ht="23.85" hidden="false" customHeight="false" outlineLevel="0" collapsed="false">
      <c r="A4" s="3" t="s">
        <v>30</v>
      </c>
      <c r="B4" s="3" t="s">
        <v>31</v>
      </c>
      <c r="C4" s="3" t="s">
        <v>32</v>
      </c>
      <c r="D4" s="3" t="s">
        <v>33</v>
      </c>
      <c r="E4" s="3" t="s">
        <v>34</v>
      </c>
      <c r="F4" s="3" t="s">
        <v>35</v>
      </c>
      <c r="G4" s="3" t="s">
        <v>36</v>
      </c>
      <c r="H4" s="3" t="s">
        <v>37</v>
      </c>
      <c r="I4" s="3" t="s">
        <v>38</v>
      </c>
      <c r="J4" s="3" t="s">
        <v>39</v>
      </c>
      <c r="K4" s="3" t="s">
        <v>40</v>
      </c>
      <c r="L4" s="3" t="s">
        <v>41</v>
      </c>
      <c r="M4" s="3" t="s">
        <v>42</v>
      </c>
      <c r="N4" s="3" t="s">
        <v>43</v>
      </c>
    </row>
    <row r="5" customFormat="false" ht="15" hidden="false" customHeight="false" outlineLevel="0" collapsed="false">
      <c r="A5" s="5" t="s">
        <v>44</v>
      </c>
      <c r="B5" s="4" t="s">
        <v>45</v>
      </c>
      <c r="C5" s="5" t="s">
        <v>46</v>
      </c>
      <c r="D5" s="5" t="s">
        <v>47</v>
      </c>
      <c r="E5" s="5" t="s">
        <v>48</v>
      </c>
      <c r="F5" s="4" t="s">
        <v>49</v>
      </c>
      <c r="G5" s="5" t="s">
        <v>50</v>
      </c>
      <c r="H5" s="8" t="n">
        <v>1720</v>
      </c>
      <c r="I5" s="9" t="n">
        <v>60.2</v>
      </c>
      <c r="J5" s="10" t="n">
        <v>1</v>
      </c>
      <c r="K5" s="9" t="n">
        <f aca="false">I5*J5</f>
        <v>60.2</v>
      </c>
      <c r="L5" s="10" t="n">
        <f aca="false">SUMIF(Dedicación!$A$5:$A$12,A5,Dedicación!$E$5:$E$12)</f>
        <v>1</v>
      </c>
      <c r="M5" s="10" t="n">
        <f aca="false">J5-L5</f>
        <v>0</v>
      </c>
      <c r="N5" s="5" t="s">
        <v>51</v>
      </c>
    </row>
    <row r="6" customFormat="false" ht="15" hidden="false" customHeight="false" outlineLevel="0" collapsed="false">
      <c r="A6" s="5" t="s">
        <v>52</v>
      </c>
      <c r="B6" s="4" t="s">
        <v>53</v>
      </c>
      <c r="C6" s="5" t="s">
        <v>54</v>
      </c>
      <c r="D6" s="5" t="s">
        <v>55</v>
      </c>
      <c r="E6" s="5" t="s">
        <v>56</v>
      </c>
      <c r="F6" s="4" t="s">
        <v>49</v>
      </c>
      <c r="G6" s="5" t="s">
        <v>50</v>
      </c>
      <c r="H6" s="8" t="n">
        <v>1720</v>
      </c>
      <c r="I6" s="9" t="n">
        <v>37.8</v>
      </c>
      <c r="J6" s="10" t="n">
        <v>0.25</v>
      </c>
      <c r="K6" s="9" t="n">
        <f aca="false">I6*J6</f>
        <v>9.45</v>
      </c>
      <c r="L6" s="10" t="n">
        <f aca="false">SUMIF(Dedicación!$A$5:$A$12,A6,Dedicación!$E$5:$E$12)</f>
        <v>0.25</v>
      </c>
      <c r="M6" s="10" t="n">
        <f aca="false">J6-L6</f>
        <v>0</v>
      </c>
      <c r="N6" s="5" t="s">
        <v>57</v>
      </c>
    </row>
    <row r="7" customFormat="false" ht="15" hidden="false" customHeight="false" outlineLevel="0" collapsed="false">
      <c r="A7" s="5" t="s">
        <v>58</v>
      </c>
      <c r="B7" s="4" t="s">
        <v>59</v>
      </c>
      <c r="C7" s="5" t="s">
        <v>60</v>
      </c>
      <c r="D7" s="5" t="s">
        <v>61</v>
      </c>
      <c r="E7" s="5" t="s">
        <v>62</v>
      </c>
      <c r="F7" s="4" t="s">
        <v>49</v>
      </c>
      <c r="G7" s="5" t="s">
        <v>50</v>
      </c>
      <c r="H7" s="8" t="n">
        <v>1720</v>
      </c>
      <c r="I7" s="9" t="n">
        <v>82.6</v>
      </c>
      <c r="J7" s="10" t="n">
        <v>0.15</v>
      </c>
      <c r="K7" s="9" t="n">
        <f aca="false">I7*J7</f>
        <v>12.39</v>
      </c>
      <c r="L7" s="10" t="n">
        <f aca="false">SUMIF(Dedicación!$A$5:$A$12,A7,Dedicación!$E$5:$E$12)</f>
        <v>0.15</v>
      </c>
      <c r="M7" s="10" t="n">
        <f aca="false">J7-L7</f>
        <v>0</v>
      </c>
      <c r="N7" s="5" t="s">
        <v>51</v>
      </c>
    </row>
    <row r="8" customFormat="false" ht="23.85" hidden="false" customHeight="false" outlineLevel="0" collapsed="false">
      <c r="A8" s="5" t="s">
        <v>63</v>
      </c>
      <c r="B8" s="4" t="s">
        <v>64</v>
      </c>
      <c r="C8" s="5" t="s">
        <v>65</v>
      </c>
      <c r="D8" s="5" t="s">
        <v>55</v>
      </c>
      <c r="E8" s="5" t="s">
        <v>66</v>
      </c>
      <c r="F8" s="4" t="s">
        <v>49</v>
      </c>
      <c r="G8" s="5" t="s">
        <v>50</v>
      </c>
      <c r="H8" s="8" t="n">
        <v>1720</v>
      </c>
      <c r="I8" s="9" t="n">
        <v>37.8</v>
      </c>
      <c r="J8" s="10" t="n">
        <v>0.2</v>
      </c>
      <c r="K8" s="9" t="n">
        <f aca="false">I8*J8</f>
        <v>7.56</v>
      </c>
      <c r="L8" s="10" t="n">
        <f aca="false">SUMIF(Dedicación!$A$5:$A$12,A8,Dedicación!$E$5:$E$12)</f>
        <v>0.2</v>
      </c>
      <c r="M8" s="10" t="n">
        <f aca="false">J8-L8</f>
        <v>0</v>
      </c>
      <c r="N8" s="5" t="s">
        <v>51</v>
      </c>
    </row>
    <row r="9" customFormat="false" ht="15" hidden="false" customHeight="false" outlineLevel="0" collapsed="false">
      <c r="A9" s="5" t="s">
        <v>67</v>
      </c>
      <c r="B9" s="4" t="s">
        <v>68</v>
      </c>
      <c r="C9" s="5" t="s">
        <v>69</v>
      </c>
      <c r="D9" s="5" t="s">
        <v>61</v>
      </c>
      <c r="E9" s="5" t="s">
        <v>56</v>
      </c>
      <c r="F9" s="4" t="s">
        <v>49</v>
      </c>
      <c r="G9" s="5" t="s">
        <v>50</v>
      </c>
      <c r="H9" s="8" t="n">
        <v>1720</v>
      </c>
      <c r="I9" s="9" t="n">
        <v>82.6</v>
      </c>
      <c r="J9" s="10" t="n">
        <v>0</v>
      </c>
      <c r="K9" s="9" t="n">
        <f aca="false">I9*J9</f>
        <v>0</v>
      </c>
      <c r="L9" s="10" t="n">
        <f aca="false">SUMIF(Dedicación!$A$5:$A$12,A9,Dedicación!$E$5:$E$12)</f>
        <v>0</v>
      </c>
      <c r="M9" s="10" t="n">
        <f aca="false">J9-L9</f>
        <v>0</v>
      </c>
      <c r="N9" s="5"/>
    </row>
    <row r="10" customFormat="false" ht="23.85" hidden="false" customHeight="false" outlineLevel="0" collapsed="false">
      <c r="A10" s="5" t="s">
        <v>70</v>
      </c>
      <c r="B10" s="4" t="s">
        <v>71</v>
      </c>
      <c r="C10" s="5" t="s">
        <v>72</v>
      </c>
      <c r="D10" s="5" t="s">
        <v>47</v>
      </c>
      <c r="E10" s="5" t="s">
        <v>73</v>
      </c>
      <c r="F10" s="4" t="s">
        <v>74</v>
      </c>
      <c r="G10" s="5" t="s">
        <v>75</v>
      </c>
      <c r="H10" s="8" t="n">
        <v>1720</v>
      </c>
      <c r="I10" s="9" t="n">
        <v>60.2</v>
      </c>
      <c r="J10" s="10" t="n">
        <v>0</v>
      </c>
      <c r="K10" s="9" t="n">
        <f aca="false">I10*J10</f>
        <v>0</v>
      </c>
      <c r="L10" s="10" t="n">
        <f aca="false">SUMIF(Dedicación!$A$5:$A$12,A10,Dedicación!$E$5:$E$12)</f>
        <v>0</v>
      </c>
      <c r="M10" s="10" t="n">
        <f aca="false">J10-L10</f>
        <v>0</v>
      </c>
      <c r="N10" s="5"/>
    </row>
    <row r="11" customFormat="false" ht="15" hidden="false" customHeight="false" outlineLevel="0" collapsed="false">
      <c r="A11" s="5" t="s">
        <v>76</v>
      </c>
      <c r="B11" s="4" t="s">
        <v>71</v>
      </c>
      <c r="C11" s="5" t="s">
        <v>77</v>
      </c>
      <c r="D11" s="5" t="s">
        <v>55</v>
      </c>
      <c r="E11" s="5" t="s">
        <v>48</v>
      </c>
      <c r="F11" s="4" t="s">
        <v>74</v>
      </c>
      <c r="G11" s="5" t="s">
        <v>75</v>
      </c>
      <c r="H11" s="8" t="n">
        <v>1720</v>
      </c>
      <c r="I11" s="9" t="n">
        <v>37.8</v>
      </c>
      <c r="J11" s="10" t="n">
        <v>0</v>
      </c>
      <c r="K11" s="9" t="n">
        <f aca="false">I11*J11</f>
        <v>0</v>
      </c>
      <c r="L11" s="10" t="n">
        <f aca="false">SUMIF(Dedicación!$A$5:$A$12,A11,Dedicación!$E$5:$E$12)</f>
        <v>0</v>
      </c>
      <c r="M11" s="10" t="n">
        <f aca="false">J11-L11</f>
        <v>0</v>
      </c>
      <c r="N11" s="5"/>
    </row>
    <row r="12" customFormat="false" ht="15" hidden="false" customHeight="false" outlineLevel="0" collapsed="false">
      <c r="A12" s="5" t="s">
        <v>78</v>
      </c>
      <c r="B12" s="4" t="s">
        <v>71</v>
      </c>
      <c r="C12" s="5" t="s">
        <v>79</v>
      </c>
      <c r="D12" s="5" t="s">
        <v>47</v>
      </c>
      <c r="E12" s="5" t="s">
        <v>80</v>
      </c>
      <c r="F12" s="4" t="s">
        <v>74</v>
      </c>
      <c r="G12" s="5" t="s">
        <v>75</v>
      </c>
      <c r="H12" s="8" t="n">
        <v>1720</v>
      </c>
      <c r="I12" s="9" t="n">
        <v>60.2</v>
      </c>
      <c r="J12" s="10" t="n">
        <v>0.1</v>
      </c>
      <c r="K12" s="9" t="n">
        <f aca="false">I12*J12</f>
        <v>6.02</v>
      </c>
      <c r="L12" s="10" t="n">
        <f aca="false">SUMIF(Dedicación!$A$5:$A$12,A12,Dedicación!$E$5:$E$12)</f>
        <v>0</v>
      </c>
      <c r="M12" s="10" t="n">
        <f aca="false">J12-L12</f>
        <v>0.1</v>
      </c>
      <c r="N12" s="5"/>
    </row>
    <row r="13" customFormat="false" ht="15" hidden="false" customHeight="false" outlineLevel="0" collapsed="false">
      <c r="A13" s="5" t="s">
        <v>81</v>
      </c>
      <c r="B13" s="4" t="s">
        <v>71</v>
      </c>
      <c r="C13" s="5" t="s">
        <v>82</v>
      </c>
      <c r="D13" s="5" t="s">
        <v>61</v>
      </c>
      <c r="E13" s="5" t="s">
        <v>83</v>
      </c>
      <c r="F13" s="4" t="s">
        <v>74</v>
      </c>
      <c r="G13" s="5" t="s">
        <v>75</v>
      </c>
      <c r="H13" s="8" t="n">
        <v>1720</v>
      </c>
      <c r="I13" s="9" t="n">
        <v>82.6</v>
      </c>
      <c r="J13" s="10" t="n">
        <v>0</v>
      </c>
      <c r="K13" s="9" t="n">
        <f aca="false">I13*J13</f>
        <v>0</v>
      </c>
      <c r="L13" s="10" t="n">
        <f aca="false">SUMIF(Dedicación!$A$5:$A$12,A13,Dedicación!$E$5:$E$12)</f>
        <v>0</v>
      </c>
      <c r="M13" s="10" t="n">
        <f aca="false">J13-L13</f>
        <v>0</v>
      </c>
      <c r="N13" s="5"/>
    </row>
    <row r="14" customFormat="false" ht="15" hidden="false" customHeight="false" outlineLevel="0" collapsed="false">
      <c r="A14" s="5" t="s">
        <v>84</v>
      </c>
      <c r="B14" s="4" t="s">
        <v>71</v>
      </c>
      <c r="C14" s="5" t="s">
        <v>85</v>
      </c>
      <c r="D14" s="5" t="s">
        <v>61</v>
      </c>
      <c r="E14" s="5" t="s">
        <v>86</v>
      </c>
      <c r="F14" s="4" t="s">
        <v>74</v>
      </c>
      <c r="G14" s="5" t="s">
        <v>75</v>
      </c>
      <c r="H14" s="8" t="n">
        <v>1720</v>
      </c>
      <c r="I14" s="9" t="n">
        <v>82.6</v>
      </c>
      <c r="J14" s="10" t="n">
        <v>0</v>
      </c>
      <c r="K14" s="9" t="n">
        <f aca="false">I14*J14</f>
        <v>0</v>
      </c>
      <c r="L14" s="10" t="n">
        <f aca="false">SUMIF(Dedicación!$A$5:$A$12,A14,Dedicación!$E$5:$E$12)</f>
        <v>0</v>
      </c>
      <c r="M14" s="10" t="n">
        <f aca="false">J14-L14</f>
        <v>0</v>
      </c>
      <c r="N14" s="5"/>
    </row>
    <row r="15" customFormat="false" ht="15" hidden="false" customHeight="false" outlineLevel="0" collapsed="false">
      <c r="A15" s="5" t="s">
        <v>87</v>
      </c>
      <c r="B15" s="4" t="s">
        <v>71</v>
      </c>
      <c r="C15" s="5" t="s">
        <v>88</v>
      </c>
      <c r="D15" s="5" t="s">
        <v>61</v>
      </c>
      <c r="E15" s="5" t="s">
        <v>83</v>
      </c>
      <c r="F15" s="4" t="s">
        <v>89</v>
      </c>
      <c r="G15" s="5" t="s">
        <v>75</v>
      </c>
      <c r="H15" s="8" t="n">
        <v>1720</v>
      </c>
      <c r="I15" s="9" t="n">
        <v>82.6</v>
      </c>
      <c r="J15" s="10" t="n">
        <v>0</v>
      </c>
      <c r="K15" s="9" t="n">
        <f aca="false">I15*J15</f>
        <v>0</v>
      </c>
      <c r="L15" s="10" t="n">
        <f aca="false">SUMIF(Dedicación!$A$5:$A$12,A15,Dedicación!$E$5:$E$12)</f>
        <v>0</v>
      </c>
      <c r="M15" s="10" t="n">
        <f aca="false">J15-L15</f>
        <v>0</v>
      </c>
      <c r="N15" s="5"/>
    </row>
    <row r="16" customFormat="false" ht="15" hidden="false" customHeight="false" outlineLevel="0" collapsed="false">
      <c r="A16" s="5" t="s">
        <v>90</v>
      </c>
      <c r="B16" s="4" t="s">
        <v>71</v>
      </c>
      <c r="C16" s="5" t="s">
        <v>91</v>
      </c>
      <c r="D16" s="5" t="s">
        <v>47</v>
      </c>
      <c r="E16" s="5" t="s">
        <v>48</v>
      </c>
      <c r="F16" s="4" t="s">
        <v>92</v>
      </c>
      <c r="G16" s="5" t="s">
        <v>93</v>
      </c>
      <c r="H16" s="8" t="n">
        <v>1720</v>
      </c>
      <c r="I16" s="9" t="n">
        <v>60.2</v>
      </c>
      <c r="J16" s="10" t="n">
        <v>0</v>
      </c>
      <c r="K16" s="9" t="n">
        <f aca="false">I16*J16</f>
        <v>0</v>
      </c>
      <c r="L16" s="10" t="n">
        <f aca="false">SUMIF(Dedicación!$A$5:$A$12,A16,Dedicación!$E$5:$E$12)</f>
        <v>0</v>
      </c>
      <c r="M16" s="10" t="n">
        <f aca="false">J16-L16</f>
        <v>0</v>
      </c>
      <c r="N16" s="5"/>
    </row>
    <row r="17" customFormat="false" ht="15" hidden="false" customHeight="false" outlineLevel="0" collapsed="false">
      <c r="A17" s="5" t="s">
        <v>94</v>
      </c>
      <c r="B17" s="4" t="s">
        <v>71</v>
      </c>
      <c r="C17" s="5" t="s">
        <v>95</v>
      </c>
      <c r="D17" s="5" t="s">
        <v>47</v>
      </c>
      <c r="E17" s="5" t="s">
        <v>86</v>
      </c>
      <c r="F17" s="4" t="s">
        <v>92</v>
      </c>
      <c r="G17" s="5" t="s">
        <v>93</v>
      </c>
      <c r="H17" s="8" t="n">
        <v>1720</v>
      </c>
      <c r="I17" s="9" t="n">
        <v>60.2</v>
      </c>
      <c r="J17" s="10" t="n">
        <v>0</v>
      </c>
      <c r="K17" s="9" t="n">
        <f aca="false">I17*J17</f>
        <v>0</v>
      </c>
      <c r="L17" s="10" t="n">
        <f aca="false">SUMIF(Dedicación!$A$5:$A$12,A17,Dedicación!$E$5:$E$12)</f>
        <v>0</v>
      </c>
      <c r="M17" s="10" t="n">
        <f aca="false">J17-L17</f>
        <v>0</v>
      </c>
      <c r="N17" s="5"/>
    </row>
    <row r="18" customFormat="false" ht="15" hidden="false" customHeight="false" outlineLevel="0" collapsed="false">
      <c r="A18" s="5" t="s">
        <v>96</v>
      </c>
      <c r="B18" s="4" t="s">
        <v>71</v>
      </c>
      <c r="C18" s="5" t="s">
        <v>97</v>
      </c>
      <c r="D18" s="5" t="s">
        <v>61</v>
      </c>
      <c r="E18" s="5" t="s">
        <v>80</v>
      </c>
      <c r="F18" s="4" t="s">
        <v>92</v>
      </c>
      <c r="G18" s="5" t="s">
        <v>93</v>
      </c>
      <c r="H18" s="8" t="n">
        <v>1720</v>
      </c>
      <c r="I18" s="9" t="n">
        <v>82.6</v>
      </c>
      <c r="J18" s="10" t="n">
        <v>0</v>
      </c>
      <c r="K18" s="9" t="n">
        <f aca="false">I18*J18</f>
        <v>0</v>
      </c>
      <c r="L18" s="10" t="n">
        <f aca="false">SUMIF(Dedicación!$A$5:$A$12,A18,Dedicación!$E$5:$E$12)</f>
        <v>0</v>
      </c>
      <c r="M18" s="10" t="n">
        <f aca="false">J18-L18</f>
        <v>0</v>
      </c>
      <c r="N18" s="5"/>
    </row>
    <row r="19" customFormat="false" ht="15" hidden="false" customHeight="false" outlineLevel="0" collapsed="false">
      <c r="A19" s="6" t="s">
        <v>98</v>
      </c>
      <c r="H19" s="11" t="n">
        <f aca="false">SUM(H5:H18)</f>
        <v>24080</v>
      </c>
      <c r="I19" s="12" t="n">
        <f aca="false">SUM(I5:I18)</f>
        <v>910</v>
      </c>
      <c r="K19" s="12" t="n">
        <f aca="false">SUM(K5:K18)</f>
        <v>95.62</v>
      </c>
    </row>
  </sheetData>
  <autoFilter ref="A4:N18"/>
  <conditionalFormatting sqref="M5:M18">
    <cfRule type="expression" priority="2" aboveAverage="0" equalAverage="0" bottom="0" percent="0" rank="0" text="" dxfId="5">
      <formula>ABS($M5)&gt;0.001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12"/>
    <col collapsed="false" customWidth="true" hidden="false" outlineLevel="0" max="3" min="3" style="0" width="18"/>
    <col collapsed="false" customWidth="true" hidden="false" outlineLevel="0" max="4" min="4" style="0" width="40"/>
    <col collapsed="false" customWidth="true" hidden="false" outlineLevel="0" max="5" min="5" style="0" width="13"/>
    <col collapsed="false" customWidth="true" hidden="false" outlineLevel="0" max="6" min="6" style="0" width="16"/>
  </cols>
  <sheetData>
    <row r="1" customFormat="false" ht="17.35" hidden="false" customHeight="false" outlineLevel="0" collapsed="false">
      <c r="A1" s="1" t="s">
        <v>99</v>
      </c>
    </row>
    <row r="2" customFormat="false" ht="15" hidden="false" customHeight="false" outlineLevel="0" collapsed="false">
      <c r="A2" s="2" t="s">
        <v>100</v>
      </c>
    </row>
    <row r="4" customFormat="false" ht="15" hidden="false" customHeight="false" outlineLevel="0" collapsed="false">
      <c r="A4" s="3" t="s">
        <v>30</v>
      </c>
      <c r="B4" s="3" t="s">
        <v>35</v>
      </c>
      <c r="C4" s="3" t="s">
        <v>101</v>
      </c>
      <c r="D4" s="3" t="s">
        <v>3</v>
      </c>
      <c r="E4" s="3" t="s">
        <v>102</v>
      </c>
      <c r="F4" s="3" t="s">
        <v>40</v>
      </c>
    </row>
    <row r="5" customFormat="false" ht="15" hidden="false" customHeight="false" outlineLevel="0" collapsed="false">
      <c r="A5" s="5" t="s">
        <v>52</v>
      </c>
      <c r="B5" s="4" t="str">
        <f aca="false">INDEX(Personas!$F$5:$F$18,MATCH(A5,Personas!$A$5:$A$18,0))</f>
        <v>Ondupet</v>
      </c>
      <c r="C5" s="4" t="s">
        <v>103</v>
      </c>
      <c r="D5" s="5" t="s">
        <v>18</v>
      </c>
      <c r="E5" s="10" t="n">
        <v>0.25</v>
      </c>
      <c r="F5" s="9" t="n">
        <f aca="false">E5*INDEX(Personas!$I$5:$I$18,MATCH(A5,Personas!$A$5:$A$18,0))</f>
        <v>9.45</v>
      </c>
    </row>
    <row r="6" customFormat="false" ht="15" hidden="false" customHeight="false" outlineLevel="0" collapsed="false">
      <c r="A6" s="5" t="s">
        <v>58</v>
      </c>
      <c r="B6" s="4" t="str">
        <f aca="false">INDEX(Personas!$F$5:$F$18,MATCH(A6,Personas!$A$5:$A$18,0))</f>
        <v>Ondupet</v>
      </c>
      <c r="C6" s="4" t="s">
        <v>103</v>
      </c>
      <c r="D6" s="5" t="s">
        <v>16</v>
      </c>
      <c r="E6" s="10" t="n">
        <v>0.15</v>
      </c>
      <c r="F6" s="9" t="n">
        <f aca="false">E6*INDEX(Personas!$I$5:$I$18,MATCH(A6,Personas!$A$5:$A$18,0))</f>
        <v>12.39</v>
      </c>
    </row>
    <row r="7" customFormat="false" ht="15" hidden="false" customHeight="false" outlineLevel="0" collapsed="false">
      <c r="A7" s="5" t="s">
        <v>63</v>
      </c>
      <c r="B7" s="4" t="str">
        <f aca="false">INDEX(Personas!$F$5:$F$18,MATCH(A7,Personas!$A$5:$A$18,0))</f>
        <v>Ondupet</v>
      </c>
      <c r="C7" s="4" t="s">
        <v>103</v>
      </c>
      <c r="D7" s="5" t="s">
        <v>16</v>
      </c>
      <c r="E7" s="10" t="n">
        <v>0.2</v>
      </c>
      <c r="F7" s="9" t="n">
        <f aca="false">E7*INDEX(Personas!$I$5:$I$18,MATCH(A7,Personas!$A$5:$A$18,0))</f>
        <v>7.56</v>
      </c>
    </row>
    <row r="8" customFormat="false" ht="15" hidden="false" customHeight="false" outlineLevel="0" collapsed="false">
      <c r="A8" s="5" t="s">
        <v>44</v>
      </c>
      <c r="B8" s="4" t="str">
        <f aca="false">INDEX(Personas!$F$5:$F$18,MATCH(A8,Personas!$A$5:$A$18,0))</f>
        <v>Ondupet</v>
      </c>
      <c r="C8" s="4" t="s">
        <v>103</v>
      </c>
      <c r="D8" s="5" t="s">
        <v>18</v>
      </c>
      <c r="E8" s="10" t="n">
        <v>0.3</v>
      </c>
      <c r="F8" s="9" t="n">
        <f aca="false">E8*INDEX(Personas!$I$5:$I$18,MATCH(A8,Personas!$A$5:$A$18,0))</f>
        <v>18.06</v>
      </c>
    </row>
    <row r="9" customFormat="false" ht="15" hidden="false" customHeight="false" outlineLevel="0" collapsed="false">
      <c r="A9" s="5" t="s">
        <v>44</v>
      </c>
      <c r="B9" s="4" t="str">
        <f aca="false">INDEX(Personas!$F$5:$F$18,MATCH(A9,Personas!$A$5:$A$18,0))</f>
        <v>Ondupet</v>
      </c>
      <c r="C9" s="4" t="s">
        <v>103</v>
      </c>
      <c r="D9" s="5" t="s">
        <v>23</v>
      </c>
      <c r="E9" s="10" t="n">
        <v>0.25</v>
      </c>
      <c r="F9" s="9" t="n">
        <f aca="false">E9*INDEX(Personas!$I$5:$I$18,MATCH(A9,Personas!$A$5:$A$18,0))</f>
        <v>15.05</v>
      </c>
    </row>
    <row r="10" customFormat="false" ht="15" hidden="false" customHeight="false" outlineLevel="0" collapsed="false">
      <c r="A10" s="5" t="s">
        <v>44</v>
      </c>
      <c r="B10" s="4" t="str">
        <f aca="false">INDEX(Personas!$F$5:$F$18,MATCH(A10,Personas!$A$5:$A$18,0))</f>
        <v>Ondupet</v>
      </c>
      <c r="C10" s="4" t="s">
        <v>103</v>
      </c>
      <c r="D10" s="5" t="s">
        <v>21</v>
      </c>
      <c r="E10" s="10" t="n">
        <v>0.25</v>
      </c>
      <c r="F10" s="9" t="n">
        <f aca="false">E10*INDEX(Personas!$I$5:$I$18,MATCH(A10,Personas!$A$5:$A$18,0))</f>
        <v>15.05</v>
      </c>
    </row>
    <row r="11" customFormat="false" ht="15" hidden="false" customHeight="false" outlineLevel="0" collapsed="false">
      <c r="A11" s="5" t="s">
        <v>44</v>
      </c>
      <c r="B11" s="4" t="str">
        <f aca="false">INDEX(Personas!$F$5:$F$18,MATCH(A11,Personas!$A$5:$A$18,0))</f>
        <v>Ondupet</v>
      </c>
      <c r="C11" s="4" t="s">
        <v>103</v>
      </c>
      <c r="D11" s="5" t="s">
        <v>25</v>
      </c>
      <c r="E11" s="10" t="n">
        <v>0.15</v>
      </c>
      <c r="F11" s="9" t="n">
        <f aca="false">E11*INDEX(Personas!$I$5:$I$18,MATCH(A11,Personas!$A$5:$A$18,0))</f>
        <v>9.03</v>
      </c>
    </row>
    <row r="12" customFormat="false" ht="15" hidden="false" customHeight="false" outlineLevel="0" collapsed="false">
      <c r="A12" s="5" t="s">
        <v>44</v>
      </c>
      <c r="B12" s="4" t="str">
        <f aca="false">INDEX(Personas!$F$5:$F$18,MATCH(A12,Personas!$A$5:$A$18,0))</f>
        <v>Ondupet</v>
      </c>
      <c r="C12" s="4" t="s">
        <v>103</v>
      </c>
      <c r="D12" s="5" t="s">
        <v>11</v>
      </c>
      <c r="E12" s="10" t="n">
        <v>0.05</v>
      </c>
      <c r="F12" s="9" t="n">
        <f aca="false">E12*INDEX(Personas!$I$5:$I$18,MATCH(A12,Personas!$A$5:$A$18,0))</f>
        <v>3.01</v>
      </c>
    </row>
    <row r="15" customFormat="false" ht="15" hidden="false" customHeight="false" outlineLevel="0" collapsed="false">
      <c r="A15" s="3" t="s">
        <v>104</v>
      </c>
      <c r="B15" s="3" t="s">
        <v>105</v>
      </c>
      <c r="C15" s="3" t="s">
        <v>40</v>
      </c>
    </row>
    <row r="16" customFormat="false" ht="15" hidden="false" customHeight="false" outlineLevel="0" collapsed="false">
      <c r="A16" s="5" t="s">
        <v>103</v>
      </c>
      <c r="B16" s="13" t="n">
        <f aca="false">SUMPRODUCT((Dedicación!$C$5:$C$12=A16)/COUNTIFS(Dedicación!$A$5:$A$12,Dedicación!$A$5:$A$12,Dedicación!$C$5:$C$12,Dedicación!$C$5:$C$12))</f>
        <v>4</v>
      </c>
      <c r="C16" s="9" t="n">
        <f aca="false">SUMIF(Dedicación!$C$5:$C$12,A16,Dedicación!$F$5:$F$12)</f>
        <v>89.6</v>
      </c>
    </row>
    <row r="17" customFormat="false" ht="15" hidden="false" customHeight="false" outlineLevel="0" collapsed="false">
      <c r="A17" s="5" t="s">
        <v>106</v>
      </c>
      <c r="B17" s="13" t="n">
        <f aca="false">SUMPRODUCT((Dedicación!$C$5:$C$12=A17)/COUNTIFS(Dedicación!$A$5:$A$12,Dedicación!$A$5:$A$12,Dedicación!$C$5:$C$12,Dedicación!$C$5:$C$12))</f>
        <v>0</v>
      </c>
      <c r="C17" s="9" t="n">
        <f aca="false">SUMIF(Dedicación!$C$5:$C$12,A17,Dedicación!$F$5:$F$12)</f>
        <v>0</v>
      </c>
    </row>
    <row r="18" customFormat="false" ht="15" hidden="false" customHeight="false" outlineLevel="0" collapsed="false">
      <c r="A18" s="5" t="s">
        <v>107</v>
      </c>
      <c r="B18" s="13" t="n">
        <f aca="false">SUMPRODUCT((Dedicación!$C$5:$C$12=A18)/COUNTIFS(Dedicación!$A$5:$A$12,Dedicación!$A$5:$A$12,Dedicación!$C$5:$C$12,Dedicación!$C$5:$C$12))</f>
        <v>0</v>
      </c>
      <c r="C18" s="9" t="n">
        <f aca="false">SUMIF(Dedicación!$C$5:$C$12,A18,Dedicación!$F$5:$F$12)</f>
        <v>0</v>
      </c>
    </row>
  </sheetData>
  <autoFilter ref="A4:F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60"/>
    <col collapsed="false" customWidth="true" hidden="false" outlineLevel="0" max="5" min="5" style="0" width="13"/>
    <col collapsed="false" customWidth="true" hidden="false" outlineLevel="0" max="6" min="6" style="0" width="15"/>
    <col collapsed="false" customWidth="true" hidden="false" outlineLevel="0" max="7" min="7" style="0" width="36"/>
    <col collapsed="false" customWidth="true" hidden="false" outlineLevel="0" max="8" min="8" style="0" width="34"/>
    <col collapsed="false" customWidth="true" hidden="false" outlineLevel="0" max="9" min="9" style="0" width="26"/>
    <col collapsed="false" customWidth="true" hidden="false" outlineLevel="0" max="10" min="10" style="0" width="18"/>
    <col collapsed="false" customWidth="true" hidden="false" outlineLevel="0" max="14" min="11" style="0" width="10"/>
    <col collapsed="false" customWidth="true" hidden="false" outlineLevel="0" max="15" min="15" style="0" width="13"/>
  </cols>
  <sheetData>
    <row r="1" customFormat="false" ht="17.35" hidden="false" customHeight="false" outlineLevel="0" collapsed="false">
      <c r="A1" s="1" t="s">
        <v>108</v>
      </c>
    </row>
    <row r="2" customFormat="false" ht="15" hidden="false" customHeight="false" outlineLevel="0" collapsed="false">
      <c r="A2" s="2" t="s">
        <v>109</v>
      </c>
    </row>
    <row r="4" customFormat="false" ht="15" hidden="false" customHeight="false" outlineLevel="0" collapsed="false">
      <c r="A4" s="3" t="s">
        <v>31</v>
      </c>
      <c r="B4" s="3" t="s">
        <v>110</v>
      </c>
      <c r="C4" s="3" t="s">
        <v>3</v>
      </c>
      <c r="D4" s="3" t="s">
        <v>111</v>
      </c>
      <c r="E4" s="3" t="s">
        <v>112</v>
      </c>
      <c r="F4" s="3" t="s">
        <v>113</v>
      </c>
      <c r="G4" s="3" t="s">
        <v>114</v>
      </c>
      <c r="H4" s="3" t="s">
        <v>115</v>
      </c>
      <c r="I4" s="3" t="s">
        <v>116</v>
      </c>
      <c r="J4" s="3" t="s">
        <v>117</v>
      </c>
      <c r="K4" s="3" t="s">
        <v>49</v>
      </c>
      <c r="L4" s="3" t="s">
        <v>74</v>
      </c>
      <c r="M4" s="3" t="s">
        <v>92</v>
      </c>
      <c r="N4" s="3" t="s">
        <v>118</v>
      </c>
      <c r="O4" s="3" t="s">
        <v>119</v>
      </c>
    </row>
    <row r="5" customFormat="false" ht="23.85" hidden="false" customHeight="false" outlineLevel="0" collapsed="false">
      <c r="A5" s="4" t="s">
        <v>120</v>
      </c>
      <c r="B5" s="5" t="s">
        <v>121</v>
      </c>
      <c r="C5" s="5" t="s">
        <v>11</v>
      </c>
      <c r="D5" s="5" t="s">
        <v>122</v>
      </c>
      <c r="E5" s="4" t="s">
        <v>123</v>
      </c>
      <c r="F5" s="4" t="s">
        <v>124</v>
      </c>
      <c r="G5" s="5" t="s">
        <v>125</v>
      </c>
      <c r="H5" s="5" t="s">
        <v>126</v>
      </c>
      <c r="I5" s="14" t="s">
        <v>127</v>
      </c>
      <c r="J5" s="5" t="s">
        <v>128</v>
      </c>
      <c r="K5" s="4" t="s">
        <v>129</v>
      </c>
      <c r="L5" s="4" t="s">
        <v>129</v>
      </c>
      <c r="M5" s="4" t="s">
        <v>129</v>
      </c>
      <c r="N5" s="4" t="n">
        <f aca="false">COUNTIF(K5:M5,"✓")</f>
        <v>3</v>
      </c>
      <c r="O5" s="4" t="s">
        <v>14</v>
      </c>
    </row>
    <row r="6" customFormat="false" ht="23.85" hidden="false" customHeight="false" outlineLevel="0" collapsed="false">
      <c r="A6" s="4" t="s">
        <v>130</v>
      </c>
      <c r="B6" s="5" t="s">
        <v>131</v>
      </c>
      <c r="C6" s="5" t="s">
        <v>16</v>
      </c>
      <c r="D6" s="5" t="s">
        <v>132</v>
      </c>
      <c r="E6" s="4" t="s">
        <v>123</v>
      </c>
      <c r="F6" s="4" t="s">
        <v>133</v>
      </c>
      <c r="G6" s="5" t="s">
        <v>134</v>
      </c>
      <c r="H6" s="5" t="s">
        <v>135</v>
      </c>
      <c r="I6" s="14" t="s">
        <v>136</v>
      </c>
      <c r="J6" s="5" t="s">
        <v>137</v>
      </c>
      <c r="K6" s="4" t="s">
        <v>129</v>
      </c>
      <c r="L6" s="4" t="s">
        <v>129</v>
      </c>
      <c r="M6" s="4" t="s">
        <v>129</v>
      </c>
      <c r="N6" s="4" t="n">
        <f aca="false">COUNTIF(K6:M6,"✓")</f>
        <v>3</v>
      </c>
      <c r="O6" s="4" t="s">
        <v>14</v>
      </c>
    </row>
    <row r="7" customFormat="false" ht="23.85" hidden="false" customHeight="false" outlineLevel="0" collapsed="false">
      <c r="A7" s="4" t="s">
        <v>138</v>
      </c>
      <c r="B7" s="5" t="s">
        <v>139</v>
      </c>
      <c r="C7" s="5" t="s">
        <v>16</v>
      </c>
      <c r="D7" s="5" t="s">
        <v>140</v>
      </c>
      <c r="E7" s="4" t="s">
        <v>123</v>
      </c>
      <c r="F7" s="4" t="s">
        <v>124</v>
      </c>
      <c r="G7" s="5" t="s">
        <v>141</v>
      </c>
      <c r="H7" s="5" t="s">
        <v>142</v>
      </c>
      <c r="I7" s="14" t="s">
        <v>143</v>
      </c>
      <c r="J7" s="5" t="s">
        <v>144</v>
      </c>
      <c r="K7" s="4" t="s">
        <v>129</v>
      </c>
      <c r="L7" s="4"/>
      <c r="M7" s="4" t="s">
        <v>129</v>
      </c>
      <c r="N7" s="4" t="n">
        <f aca="false">COUNTIF(K7:M7,"✓")</f>
        <v>2</v>
      </c>
      <c r="O7" s="4" t="s">
        <v>74</v>
      </c>
    </row>
    <row r="8" customFormat="false" ht="23.85" hidden="false" customHeight="false" outlineLevel="0" collapsed="false">
      <c r="A8" s="4" t="s">
        <v>145</v>
      </c>
      <c r="B8" s="5" t="s">
        <v>146</v>
      </c>
      <c r="C8" s="5" t="s">
        <v>16</v>
      </c>
      <c r="D8" s="5" t="s">
        <v>147</v>
      </c>
      <c r="E8" s="4" t="s">
        <v>148</v>
      </c>
      <c r="F8" s="4" t="s">
        <v>14</v>
      </c>
      <c r="G8" s="5" t="s">
        <v>149</v>
      </c>
      <c r="H8" s="5" t="s">
        <v>150</v>
      </c>
      <c r="I8" s="14" t="s">
        <v>151</v>
      </c>
      <c r="J8" s="5" t="s">
        <v>152</v>
      </c>
      <c r="K8" s="4" t="s">
        <v>129</v>
      </c>
      <c r="L8" s="4"/>
      <c r="M8" s="4" t="s">
        <v>129</v>
      </c>
      <c r="N8" s="4" t="n">
        <f aca="false">COUNTIF(K8:M8,"✓")</f>
        <v>2</v>
      </c>
      <c r="O8" s="4" t="s">
        <v>74</v>
      </c>
    </row>
    <row r="9" customFormat="false" ht="23.85" hidden="false" customHeight="false" outlineLevel="0" collapsed="false">
      <c r="A9" s="4" t="s">
        <v>153</v>
      </c>
      <c r="B9" s="5" t="s">
        <v>154</v>
      </c>
      <c r="C9" s="5" t="s">
        <v>18</v>
      </c>
      <c r="D9" s="5" t="s">
        <v>155</v>
      </c>
      <c r="E9" s="4" t="s">
        <v>123</v>
      </c>
      <c r="F9" s="4" t="s">
        <v>156</v>
      </c>
      <c r="G9" s="5" t="s">
        <v>157</v>
      </c>
      <c r="H9" s="5" t="s">
        <v>158</v>
      </c>
      <c r="I9" s="14" t="s">
        <v>159</v>
      </c>
      <c r="J9" s="5" t="s">
        <v>160</v>
      </c>
      <c r="K9" s="4"/>
      <c r="L9" s="4" t="s">
        <v>129</v>
      </c>
      <c r="M9" s="4"/>
      <c r="N9" s="4" t="n">
        <f aca="false">COUNTIF(K9:M9,"✓")</f>
        <v>1</v>
      </c>
      <c r="O9" s="4" t="s">
        <v>14</v>
      </c>
    </row>
    <row r="10" customFormat="false" ht="23.85" hidden="false" customHeight="false" outlineLevel="0" collapsed="false">
      <c r="A10" s="4" t="s">
        <v>161</v>
      </c>
      <c r="B10" s="5" t="s">
        <v>162</v>
      </c>
      <c r="C10" s="5" t="s">
        <v>18</v>
      </c>
      <c r="D10" s="5" t="s">
        <v>163</v>
      </c>
      <c r="E10" s="4" t="s">
        <v>123</v>
      </c>
      <c r="F10" s="4" t="s">
        <v>124</v>
      </c>
      <c r="G10" s="5" t="s">
        <v>164</v>
      </c>
      <c r="H10" s="5" t="s">
        <v>165</v>
      </c>
      <c r="I10" s="14" t="s">
        <v>166</v>
      </c>
      <c r="J10" s="5" t="s">
        <v>160</v>
      </c>
      <c r="K10" s="4"/>
      <c r="L10" s="4" t="s">
        <v>129</v>
      </c>
      <c r="M10" s="4" t="s">
        <v>129</v>
      </c>
      <c r="N10" s="4" t="n">
        <f aca="false">COUNTIF(K10:M10,"✓")</f>
        <v>2</v>
      </c>
      <c r="O10" s="4" t="s">
        <v>14</v>
      </c>
    </row>
    <row r="11" customFormat="false" ht="15" hidden="false" customHeight="false" outlineLevel="0" collapsed="false">
      <c r="A11" s="4" t="s">
        <v>167</v>
      </c>
      <c r="B11" s="5" t="s">
        <v>168</v>
      </c>
      <c r="C11" s="5" t="s">
        <v>21</v>
      </c>
      <c r="D11" s="5" t="s">
        <v>169</v>
      </c>
      <c r="E11" s="4" t="s">
        <v>123</v>
      </c>
      <c r="F11" s="4" t="s">
        <v>133</v>
      </c>
      <c r="G11" s="5" t="s">
        <v>170</v>
      </c>
      <c r="H11" s="5" t="s">
        <v>171</v>
      </c>
      <c r="I11" s="14" t="s">
        <v>172</v>
      </c>
      <c r="J11" s="5" t="s">
        <v>173</v>
      </c>
      <c r="K11" s="4" t="s">
        <v>129</v>
      </c>
      <c r="L11" s="4" t="s">
        <v>129</v>
      </c>
      <c r="M11" s="4" t="s">
        <v>129</v>
      </c>
      <c r="N11" s="4" t="n">
        <f aca="false">COUNTIF(K11:M11,"✓")</f>
        <v>3</v>
      </c>
      <c r="O11" s="4" t="s">
        <v>14</v>
      </c>
    </row>
    <row r="12" customFormat="false" ht="23.85" hidden="false" customHeight="false" outlineLevel="0" collapsed="false">
      <c r="A12" s="4" t="s">
        <v>174</v>
      </c>
      <c r="B12" s="5" t="s">
        <v>175</v>
      </c>
      <c r="C12" s="5" t="s">
        <v>21</v>
      </c>
      <c r="D12" s="5" t="s">
        <v>176</v>
      </c>
      <c r="E12" s="4" t="s">
        <v>123</v>
      </c>
      <c r="F12" s="4" t="s">
        <v>133</v>
      </c>
      <c r="G12" s="5" t="s">
        <v>177</v>
      </c>
      <c r="H12" s="5" t="s">
        <v>178</v>
      </c>
      <c r="I12" s="14" t="s">
        <v>179</v>
      </c>
      <c r="J12" s="5" t="s">
        <v>173</v>
      </c>
      <c r="K12" s="4" t="s">
        <v>129</v>
      </c>
      <c r="L12" s="4" t="s">
        <v>129</v>
      </c>
      <c r="M12" s="4" t="s">
        <v>129</v>
      </c>
      <c r="N12" s="4" t="n">
        <f aca="false">COUNTIF(K12:M12,"✓")</f>
        <v>3</v>
      </c>
      <c r="O12" s="4" t="s">
        <v>14</v>
      </c>
    </row>
    <row r="13" customFormat="false" ht="23.85" hidden="false" customHeight="false" outlineLevel="0" collapsed="false">
      <c r="A13" s="4" t="s">
        <v>180</v>
      </c>
      <c r="B13" s="5" t="s">
        <v>181</v>
      </c>
      <c r="C13" s="5" t="s">
        <v>23</v>
      </c>
      <c r="D13" s="5" t="s">
        <v>182</v>
      </c>
      <c r="E13" s="4" t="s">
        <v>123</v>
      </c>
      <c r="F13" s="4" t="s">
        <v>133</v>
      </c>
      <c r="G13" s="5" t="s">
        <v>183</v>
      </c>
      <c r="H13" s="5" t="s">
        <v>184</v>
      </c>
      <c r="I13" s="14" t="s">
        <v>185</v>
      </c>
      <c r="J13" s="5" t="s">
        <v>186</v>
      </c>
      <c r="K13" s="4"/>
      <c r="L13" s="4"/>
      <c r="M13" s="4" t="s">
        <v>129</v>
      </c>
      <c r="N13" s="4" t="n">
        <f aca="false">COUNTIF(K13:M13,"✓")</f>
        <v>1</v>
      </c>
      <c r="O13" s="4" t="s">
        <v>74</v>
      </c>
    </row>
    <row r="14" customFormat="false" ht="23.85" hidden="false" customHeight="false" outlineLevel="0" collapsed="false">
      <c r="A14" s="4" t="s">
        <v>187</v>
      </c>
      <c r="B14" s="5" t="s">
        <v>188</v>
      </c>
      <c r="C14" s="5" t="s">
        <v>25</v>
      </c>
      <c r="D14" s="5" t="s">
        <v>189</v>
      </c>
      <c r="E14" s="4" t="s">
        <v>148</v>
      </c>
      <c r="F14" s="4" t="s">
        <v>14</v>
      </c>
      <c r="G14" s="5" t="s">
        <v>190</v>
      </c>
      <c r="H14" s="5" t="s">
        <v>191</v>
      </c>
      <c r="I14" s="14" t="s">
        <v>151</v>
      </c>
      <c r="J14" s="5" t="s">
        <v>192</v>
      </c>
      <c r="K14" s="4" t="s">
        <v>129</v>
      </c>
      <c r="L14" s="4" t="s">
        <v>129</v>
      </c>
      <c r="M14" s="4" t="s">
        <v>129</v>
      </c>
      <c r="N14" s="4" t="n">
        <f aca="false">COUNTIF(K14:M14,"✓")</f>
        <v>3</v>
      </c>
      <c r="O14" s="4" t="s">
        <v>14</v>
      </c>
    </row>
    <row r="15" customFormat="false" ht="23.85" hidden="false" customHeight="false" outlineLevel="0" collapsed="false">
      <c r="A15" s="4" t="s">
        <v>193</v>
      </c>
      <c r="B15" s="5" t="s">
        <v>194</v>
      </c>
      <c r="C15" s="5" t="s">
        <v>25</v>
      </c>
      <c r="D15" s="5" t="s">
        <v>195</v>
      </c>
      <c r="E15" s="4" t="s">
        <v>123</v>
      </c>
      <c r="F15" s="4" t="s">
        <v>133</v>
      </c>
      <c r="G15" s="5" t="s">
        <v>196</v>
      </c>
      <c r="H15" s="5" t="s">
        <v>197</v>
      </c>
      <c r="I15" s="14" t="s">
        <v>198</v>
      </c>
      <c r="J15" s="5" t="s">
        <v>192</v>
      </c>
      <c r="K15" s="4" t="s">
        <v>129</v>
      </c>
      <c r="L15" s="4"/>
      <c r="M15" s="4" t="s">
        <v>129</v>
      </c>
      <c r="N15" s="4" t="n">
        <f aca="false">COUNTIF(K15:M15,"✓")</f>
        <v>2</v>
      </c>
      <c r="O15" s="4" t="s">
        <v>74</v>
      </c>
    </row>
  </sheetData>
  <autoFilter ref="A4:O15"/>
  <conditionalFormatting sqref="A5:O15">
    <cfRule type="expression" priority="2" aboveAverage="0" equalAverage="0" bottom="0" percent="0" rank="0" text="" dxfId="7">
      <formula>$E5="Oportunidad"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32"/>
    <col collapsed="false" customWidth="true" hidden="false" outlineLevel="0" max="3" min="3" style="0" width="58"/>
    <col collapsed="false" customWidth="true" hidden="false" outlineLevel="0" max="4" min="4" style="0" width="30"/>
    <col collapsed="false" customWidth="true" hidden="false" outlineLevel="0" max="5" min="5" style="0" width="52"/>
    <col collapsed="false" customWidth="true" hidden="false" outlineLevel="0" max="6" min="6" style="0" width="34"/>
    <col collapsed="false" customWidth="true" hidden="false" outlineLevel="0" max="7" min="7" style="0" width="10"/>
    <col collapsed="false" customWidth="true" hidden="false" outlineLevel="0" max="8" min="8" style="0" width="15"/>
    <col collapsed="false" customWidth="true" hidden="false" outlineLevel="0" max="9" min="9" style="0" width="22"/>
    <col collapsed="false" customWidth="true" hidden="false" outlineLevel="0" max="12" min="10" style="0" width="10"/>
    <col collapsed="false" customWidth="true" hidden="false" outlineLevel="0" max="13" min="13" style="0" width="11"/>
  </cols>
  <sheetData>
    <row r="1" customFormat="false" ht="17.35" hidden="false" customHeight="false" outlineLevel="0" collapsed="false">
      <c r="A1" s="1" t="s">
        <v>199</v>
      </c>
    </row>
    <row r="2" customFormat="false" ht="15" hidden="false" customHeight="false" outlineLevel="0" collapsed="false">
      <c r="A2" s="2" t="s">
        <v>200</v>
      </c>
    </row>
    <row r="4" customFormat="false" ht="15" hidden="false" customHeight="false" outlineLevel="0" collapsed="false">
      <c r="A4" s="3" t="s">
        <v>201</v>
      </c>
      <c r="B4" s="3" t="s">
        <v>202</v>
      </c>
      <c r="C4" s="3" t="s">
        <v>203</v>
      </c>
      <c r="D4" s="3" t="s">
        <v>204</v>
      </c>
      <c r="E4" s="3" t="s">
        <v>205</v>
      </c>
      <c r="F4" s="3" t="s">
        <v>206</v>
      </c>
      <c r="G4" s="3" t="s">
        <v>207</v>
      </c>
      <c r="H4" s="3" t="s">
        <v>208</v>
      </c>
      <c r="I4" s="3" t="s">
        <v>209</v>
      </c>
      <c r="J4" s="3" t="s">
        <v>49</v>
      </c>
      <c r="K4" s="3" t="s">
        <v>74</v>
      </c>
      <c r="L4" s="3" t="s">
        <v>92</v>
      </c>
      <c r="M4" s="3" t="s">
        <v>210</v>
      </c>
    </row>
    <row r="5" customFormat="false" ht="35.05" hidden="false" customHeight="false" outlineLevel="0" collapsed="false">
      <c r="A5" s="4" t="s">
        <v>128</v>
      </c>
      <c r="B5" s="5" t="s">
        <v>211</v>
      </c>
      <c r="C5" s="5" t="s">
        <v>212</v>
      </c>
      <c r="D5" s="5" t="s">
        <v>213</v>
      </c>
      <c r="E5" s="5" t="s">
        <v>214</v>
      </c>
      <c r="F5" s="5" t="s">
        <v>11</v>
      </c>
      <c r="G5" s="4" t="s">
        <v>14</v>
      </c>
      <c r="H5" s="4" t="s">
        <v>215</v>
      </c>
      <c r="I5" s="5" t="s">
        <v>120</v>
      </c>
      <c r="J5" s="4" t="s">
        <v>129</v>
      </c>
      <c r="K5" s="4" t="s">
        <v>129</v>
      </c>
      <c r="L5" s="4" t="s">
        <v>129</v>
      </c>
      <c r="M5" s="4" t="n">
        <f aca="false">COUNTIF(J5:L5,"✓")</f>
        <v>3</v>
      </c>
    </row>
    <row r="6" customFormat="false" ht="23.85" hidden="false" customHeight="false" outlineLevel="0" collapsed="false">
      <c r="A6" s="4" t="s">
        <v>137</v>
      </c>
      <c r="B6" s="5" t="s">
        <v>216</v>
      </c>
      <c r="C6" s="5" t="s">
        <v>217</v>
      </c>
      <c r="D6" s="5" t="s">
        <v>218</v>
      </c>
      <c r="E6" s="5" t="s">
        <v>219</v>
      </c>
      <c r="F6" s="5" t="s">
        <v>16</v>
      </c>
      <c r="G6" s="4" t="s">
        <v>14</v>
      </c>
      <c r="H6" s="4" t="s">
        <v>215</v>
      </c>
      <c r="I6" s="5" t="s">
        <v>130</v>
      </c>
      <c r="J6" s="4" t="s">
        <v>129</v>
      </c>
      <c r="K6" s="4" t="s">
        <v>129</v>
      </c>
      <c r="L6" s="4" t="s">
        <v>129</v>
      </c>
      <c r="M6" s="4" t="n">
        <f aca="false">COUNTIF(J6:L6,"✓")</f>
        <v>3</v>
      </c>
    </row>
    <row r="7" customFormat="false" ht="23.85" hidden="false" customHeight="false" outlineLevel="0" collapsed="false">
      <c r="A7" s="4" t="s">
        <v>144</v>
      </c>
      <c r="B7" s="5" t="s">
        <v>220</v>
      </c>
      <c r="C7" s="5" t="s">
        <v>221</v>
      </c>
      <c r="D7" s="5" t="s">
        <v>222</v>
      </c>
      <c r="E7" s="5" t="s">
        <v>223</v>
      </c>
      <c r="F7" s="5" t="s">
        <v>16</v>
      </c>
      <c r="G7" s="4" t="s">
        <v>14</v>
      </c>
      <c r="H7" s="4" t="s">
        <v>215</v>
      </c>
      <c r="I7" s="5" t="s">
        <v>224</v>
      </c>
      <c r="J7" s="4" t="s">
        <v>129</v>
      </c>
      <c r="K7" s="4"/>
      <c r="L7" s="4" t="s">
        <v>129</v>
      </c>
      <c r="M7" s="4" t="n">
        <f aca="false">COUNTIF(J7:L7,"✓")</f>
        <v>2</v>
      </c>
    </row>
    <row r="8" customFormat="false" ht="23.85" hidden="false" customHeight="false" outlineLevel="0" collapsed="false">
      <c r="A8" s="4" t="s">
        <v>225</v>
      </c>
      <c r="B8" s="5" t="s">
        <v>226</v>
      </c>
      <c r="C8" s="5" t="s">
        <v>227</v>
      </c>
      <c r="D8" s="5" t="s">
        <v>228</v>
      </c>
      <c r="E8" s="5" t="s">
        <v>229</v>
      </c>
      <c r="F8" s="5" t="s">
        <v>16</v>
      </c>
      <c r="G8" s="4" t="s">
        <v>14</v>
      </c>
      <c r="H8" s="4" t="s">
        <v>215</v>
      </c>
      <c r="I8" s="5" t="s">
        <v>230</v>
      </c>
      <c r="J8" s="4" t="s">
        <v>129</v>
      </c>
      <c r="K8" s="4"/>
      <c r="L8" s="4" t="s">
        <v>129</v>
      </c>
      <c r="M8" s="4" t="n">
        <f aca="false">COUNTIF(J8:L8,"✓")</f>
        <v>2</v>
      </c>
    </row>
    <row r="9" customFormat="false" ht="23.85" hidden="false" customHeight="false" outlineLevel="0" collapsed="false">
      <c r="A9" s="4" t="s">
        <v>160</v>
      </c>
      <c r="B9" s="5" t="s">
        <v>231</v>
      </c>
      <c r="C9" s="5" t="s">
        <v>232</v>
      </c>
      <c r="D9" s="5" t="s">
        <v>233</v>
      </c>
      <c r="E9" s="5" t="s">
        <v>234</v>
      </c>
      <c r="F9" s="5" t="s">
        <v>18</v>
      </c>
      <c r="G9" s="4" t="s">
        <v>14</v>
      </c>
      <c r="H9" s="4" t="s">
        <v>215</v>
      </c>
      <c r="I9" s="5" t="s">
        <v>235</v>
      </c>
      <c r="J9" s="4"/>
      <c r="K9" s="4" t="s">
        <v>129</v>
      </c>
      <c r="L9" s="4" t="s">
        <v>129</v>
      </c>
      <c r="M9" s="4" t="n">
        <f aca="false">COUNTIF(J9:L9,"✓")</f>
        <v>2</v>
      </c>
    </row>
    <row r="10" customFormat="false" ht="23.85" hidden="false" customHeight="false" outlineLevel="0" collapsed="false">
      <c r="A10" s="4" t="s">
        <v>173</v>
      </c>
      <c r="B10" s="5" t="s">
        <v>236</v>
      </c>
      <c r="C10" s="5" t="s">
        <v>237</v>
      </c>
      <c r="D10" s="5" t="s">
        <v>238</v>
      </c>
      <c r="E10" s="5" t="s">
        <v>239</v>
      </c>
      <c r="F10" s="5" t="s">
        <v>21</v>
      </c>
      <c r="G10" s="4" t="s">
        <v>14</v>
      </c>
      <c r="H10" s="4" t="s">
        <v>215</v>
      </c>
      <c r="I10" s="5" t="s">
        <v>240</v>
      </c>
      <c r="J10" s="4" t="s">
        <v>129</v>
      </c>
      <c r="K10" s="4" t="s">
        <v>129</v>
      </c>
      <c r="L10" s="4" t="s">
        <v>129</v>
      </c>
      <c r="M10" s="4" t="n">
        <f aca="false">COUNTIF(J10:L10,"✓")</f>
        <v>3</v>
      </c>
    </row>
    <row r="11" customFormat="false" ht="23.85" hidden="false" customHeight="false" outlineLevel="0" collapsed="false">
      <c r="A11" s="4" t="s">
        <v>186</v>
      </c>
      <c r="B11" s="5" t="s">
        <v>241</v>
      </c>
      <c r="C11" s="5" t="s">
        <v>242</v>
      </c>
      <c r="D11" s="5" t="s">
        <v>243</v>
      </c>
      <c r="E11" s="5" t="s">
        <v>244</v>
      </c>
      <c r="F11" s="5" t="s">
        <v>23</v>
      </c>
      <c r="G11" s="4" t="s">
        <v>14</v>
      </c>
      <c r="H11" s="4" t="s">
        <v>215</v>
      </c>
      <c r="I11" s="5" t="s">
        <v>180</v>
      </c>
      <c r="J11" s="4"/>
      <c r="K11" s="4"/>
      <c r="L11" s="4" t="s">
        <v>129</v>
      </c>
      <c r="M11" s="4" t="n">
        <f aca="false">COUNTIF(J11:L11,"✓")</f>
        <v>1</v>
      </c>
    </row>
    <row r="12" customFormat="false" ht="23.85" hidden="false" customHeight="false" outlineLevel="0" collapsed="false">
      <c r="A12" s="4" t="s">
        <v>192</v>
      </c>
      <c r="B12" s="5" t="s">
        <v>245</v>
      </c>
      <c r="C12" s="5" t="s">
        <v>246</v>
      </c>
      <c r="D12" s="5" t="s">
        <v>247</v>
      </c>
      <c r="E12" s="5" t="s">
        <v>248</v>
      </c>
      <c r="F12" s="5" t="s">
        <v>25</v>
      </c>
      <c r="G12" s="4" t="s">
        <v>14</v>
      </c>
      <c r="H12" s="4" t="s">
        <v>215</v>
      </c>
      <c r="I12" s="5" t="s">
        <v>249</v>
      </c>
      <c r="J12" s="4" t="s">
        <v>129</v>
      </c>
      <c r="K12" s="4" t="s">
        <v>129</v>
      </c>
      <c r="L12" s="4" t="s">
        <v>129</v>
      </c>
      <c r="M12" s="4" t="n">
        <f aca="false">COUNTIF(J12:L12,"✓")</f>
        <v>3</v>
      </c>
    </row>
  </sheetData>
  <autoFilter ref="A4:M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2" min="2" style="0" width="40"/>
    <col collapsed="false" customWidth="true" hidden="false" outlineLevel="0" max="3" min="3" style="0" width="26"/>
    <col collapsed="false" customWidth="true" hidden="false" outlineLevel="0" max="4" min="4" style="0" width="18"/>
    <col collapsed="false" customWidth="true" hidden="false" outlineLevel="0" max="5" min="5" style="0" width="26"/>
    <col collapsed="false" customWidth="true" hidden="false" outlineLevel="0" max="6" min="6" style="0" width="52"/>
    <col collapsed="false" customWidth="true" hidden="false" outlineLevel="0" max="7" min="7" style="0" width="32"/>
    <col collapsed="false" customWidth="true" hidden="false" outlineLevel="0" max="8" min="8" style="0" width="10"/>
    <col collapsed="false" customWidth="true" hidden="false" outlineLevel="0" max="9" min="9" style="0" width="58"/>
    <col collapsed="false" customWidth="true" hidden="false" outlineLevel="0" max="10" min="10" style="0" width="20"/>
    <col collapsed="false" customWidth="true" hidden="false" outlineLevel="0" max="11" min="11" style="0" width="11"/>
  </cols>
  <sheetData>
    <row r="1" customFormat="false" ht="17.35" hidden="false" customHeight="false" outlineLevel="0" collapsed="false">
      <c r="A1" s="1" t="s">
        <v>250</v>
      </c>
    </row>
    <row r="2" customFormat="false" ht="15" hidden="false" customHeight="false" outlineLevel="0" collapsed="false">
      <c r="A2" s="2" t="s">
        <v>251</v>
      </c>
    </row>
    <row r="4" customFormat="false" ht="15" hidden="false" customHeight="false" outlineLevel="0" collapsed="false">
      <c r="A4" s="15" t="s">
        <v>252</v>
      </c>
      <c r="B4" s="16" t="n">
        <f aca="false">SUMPRODUCT((C7:C22&lt;&gt;"")/COUNTIF(C7:C22,C7:C22&amp;""))</f>
        <v>9</v>
      </c>
      <c r="C4" s="15" t="s">
        <v>253</v>
      </c>
      <c r="D4" s="16" t="n">
        <f aca="false">COUNTA(A7:A22)</f>
        <v>6</v>
      </c>
      <c r="E4" s="15" t="s">
        <v>254</v>
      </c>
      <c r="F4" s="16" t="n">
        <f aca="false">COUNTA(G7:G22)</f>
        <v>15</v>
      </c>
      <c r="G4" s="15" t="s">
        <v>255</v>
      </c>
      <c r="H4" s="16" t="n">
        <f aca="false">COUNTIF(H7:H22,"agente")</f>
        <v>4</v>
      </c>
      <c r="I4" s="15" t="s">
        <v>256</v>
      </c>
      <c r="J4" s="17" t="n">
        <f aca="false">SUM(K7:K22)</f>
        <v>17403</v>
      </c>
    </row>
    <row r="6" customFormat="false" ht="23.85" hidden="false" customHeight="false" outlineLevel="0" collapsed="false">
      <c r="A6" s="3" t="s">
        <v>202</v>
      </c>
      <c r="B6" s="3" t="s">
        <v>203</v>
      </c>
      <c r="C6" s="3" t="s">
        <v>257</v>
      </c>
      <c r="D6" s="3" t="s">
        <v>258</v>
      </c>
      <c r="E6" s="3" t="s">
        <v>259</v>
      </c>
      <c r="F6" s="3" t="s">
        <v>260</v>
      </c>
      <c r="G6" s="3" t="s">
        <v>261</v>
      </c>
      <c r="H6" s="3" t="s">
        <v>262</v>
      </c>
      <c r="I6" s="3" t="s">
        <v>263</v>
      </c>
      <c r="J6" s="3" t="s">
        <v>264</v>
      </c>
      <c r="K6" s="3" t="s">
        <v>256</v>
      </c>
    </row>
    <row r="7" customFormat="false" ht="35.05" hidden="false" customHeight="true" outlineLevel="0" collapsed="false">
      <c r="A7" s="18" t="s">
        <v>265</v>
      </c>
      <c r="B7" s="19" t="s">
        <v>212</v>
      </c>
      <c r="C7" s="20" t="s">
        <v>266</v>
      </c>
      <c r="D7" s="21" t="s">
        <v>267</v>
      </c>
      <c r="E7" s="20" t="s">
        <v>268</v>
      </c>
      <c r="F7" s="20" t="s">
        <v>269</v>
      </c>
      <c r="G7" s="20" t="s">
        <v>270</v>
      </c>
      <c r="H7" s="21" t="s">
        <v>271</v>
      </c>
      <c r="I7" s="20" t="s">
        <v>272</v>
      </c>
      <c r="J7" s="21" t="s">
        <v>273</v>
      </c>
      <c r="K7" s="22" t="s">
        <v>14</v>
      </c>
    </row>
    <row r="8" customFormat="false" ht="35.05" hidden="false" customHeight="false" outlineLevel="0" collapsed="false">
      <c r="A8" s="18"/>
      <c r="B8" s="18"/>
      <c r="C8" s="5" t="s">
        <v>274</v>
      </c>
      <c r="D8" s="4" t="s">
        <v>267</v>
      </c>
      <c r="E8" s="5" t="s">
        <v>268</v>
      </c>
      <c r="F8" s="5" t="s">
        <v>275</v>
      </c>
      <c r="G8" s="5" t="s">
        <v>276</v>
      </c>
      <c r="H8" s="4" t="s">
        <v>271</v>
      </c>
      <c r="I8" s="5" t="s">
        <v>277</v>
      </c>
      <c r="J8" s="4" t="s">
        <v>273</v>
      </c>
      <c r="K8" s="23" t="s">
        <v>14</v>
      </c>
    </row>
    <row r="9" customFormat="false" ht="35.05" hidden="false" customHeight="false" outlineLevel="0" collapsed="false">
      <c r="A9" s="18"/>
      <c r="B9" s="18"/>
      <c r="C9" s="5"/>
      <c r="D9" s="5"/>
      <c r="E9" s="5"/>
      <c r="F9" s="5"/>
      <c r="G9" s="5" t="s">
        <v>278</v>
      </c>
      <c r="H9" s="4" t="s">
        <v>279</v>
      </c>
      <c r="I9" s="5" t="s">
        <v>280</v>
      </c>
      <c r="J9" s="4" t="s">
        <v>281</v>
      </c>
      <c r="K9" s="23" t="n">
        <v>903</v>
      </c>
    </row>
    <row r="10" customFormat="false" ht="35.05" hidden="false" customHeight="true" outlineLevel="0" collapsed="false">
      <c r="A10" s="18" t="s">
        <v>282</v>
      </c>
      <c r="B10" s="19" t="s">
        <v>217</v>
      </c>
      <c r="C10" s="20" t="s">
        <v>283</v>
      </c>
      <c r="D10" s="21" t="s">
        <v>284</v>
      </c>
      <c r="E10" s="20" t="s">
        <v>285</v>
      </c>
      <c r="F10" s="20" t="s">
        <v>286</v>
      </c>
      <c r="G10" s="20" t="s">
        <v>287</v>
      </c>
      <c r="H10" s="21" t="s">
        <v>288</v>
      </c>
      <c r="I10" s="20" t="s">
        <v>289</v>
      </c>
      <c r="J10" s="21" t="s">
        <v>273</v>
      </c>
      <c r="K10" s="22" t="s">
        <v>14</v>
      </c>
    </row>
    <row r="11" customFormat="false" ht="35.05" hidden="false" customHeight="false" outlineLevel="0" collapsed="false">
      <c r="A11" s="18"/>
      <c r="B11" s="18"/>
      <c r="C11" s="5"/>
      <c r="D11" s="5"/>
      <c r="E11" s="5"/>
      <c r="F11" s="5"/>
      <c r="G11" s="5" t="s">
        <v>290</v>
      </c>
      <c r="H11" s="4" t="s">
        <v>271</v>
      </c>
      <c r="I11" s="5" t="s">
        <v>291</v>
      </c>
      <c r="J11" s="4" t="s">
        <v>273</v>
      </c>
      <c r="K11" s="23" t="s">
        <v>14</v>
      </c>
    </row>
    <row r="12" customFormat="false" ht="35.05" hidden="false" customHeight="false" outlineLevel="0" collapsed="false">
      <c r="A12" s="18"/>
      <c r="B12" s="18"/>
      <c r="C12" s="5"/>
      <c r="D12" s="5"/>
      <c r="E12" s="5"/>
      <c r="F12" s="5"/>
      <c r="G12" s="5" t="s">
        <v>292</v>
      </c>
      <c r="H12" s="4" t="s">
        <v>288</v>
      </c>
      <c r="I12" s="5" t="s">
        <v>293</v>
      </c>
      <c r="J12" s="4" t="s">
        <v>273</v>
      </c>
      <c r="K12" s="23" t="s">
        <v>14</v>
      </c>
    </row>
    <row r="13" customFormat="false" ht="35.05" hidden="false" customHeight="false" outlineLevel="0" collapsed="false">
      <c r="A13" s="18"/>
      <c r="B13" s="18"/>
      <c r="C13" s="5"/>
      <c r="D13" s="5"/>
      <c r="E13" s="5"/>
      <c r="F13" s="5"/>
      <c r="G13" s="5" t="s">
        <v>294</v>
      </c>
      <c r="H13" s="4" t="s">
        <v>279</v>
      </c>
      <c r="I13" s="5" t="s">
        <v>295</v>
      </c>
      <c r="J13" s="4" t="s">
        <v>296</v>
      </c>
      <c r="K13" s="23" t="n">
        <v>6000</v>
      </c>
    </row>
    <row r="14" customFormat="false" ht="23.85" hidden="false" customHeight="true" outlineLevel="0" collapsed="false">
      <c r="A14" s="18" t="s">
        <v>297</v>
      </c>
      <c r="B14" s="19" t="s">
        <v>221</v>
      </c>
      <c r="C14" s="20" t="s">
        <v>298</v>
      </c>
      <c r="D14" s="21" t="s">
        <v>267</v>
      </c>
      <c r="E14" s="20" t="s">
        <v>285</v>
      </c>
      <c r="F14" s="20" t="s">
        <v>299</v>
      </c>
      <c r="G14" s="20" t="s">
        <v>300</v>
      </c>
      <c r="H14" s="21" t="s">
        <v>271</v>
      </c>
      <c r="I14" s="20" t="s">
        <v>301</v>
      </c>
      <c r="J14" s="21" t="s">
        <v>273</v>
      </c>
      <c r="K14" s="22" t="s">
        <v>14</v>
      </c>
    </row>
    <row r="15" customFormat="false" ht="35.05" hidden="false" customHeight="false" outlineLevel="0" collapsed="false">
      <c r="A15" s="18"/>
      <c r="B15" s="18"/>
      <c r="C15" s="5" t="s">
        <v>302</v>
      </c>
      <c r="D15" s="4" t="s">
        <v>303</v>
      </c>
      <c r="E15" s="5" t="s">
        <v>285</v>
      </c>
      <c r="F15" s="5" t="s">
        <v>304</v>
      </c>
      <c r="G15" s="5" t="s">
        <v>305</v>
      </c>
      <c r="H15" s="4" t="s">
        <v>271</v>
      </c>
      <c r="I15" s="5" t="s">
        <v>306</v>
      </c>
      <c r="J15" s="4" t="s">
        <v>273</v>
      </c>
      <c r="K15" s="23" t="s">
        <v>14</v>
      </c>
    </row>
    <row r="16" customFormat="false" ht="35.05" hidden="false" customHeight="false" outlineLevel="0" collapsed="false">
      <c r="A16" s="18"/>
      <c r="B16" s="18"/>
      <c r="C16" s="5"/>
      <c r="D16" s="5"/>
      <c r="E16" s="5"/>
      <c r="F16" s="5"/>
      <c r="G16" s="5" t="s">
        <v>307</v>
      </c>
      <c r="H16" s="4" t="s">
        <v>288</v>
      </c>
      <c r="I16" s="5" t="s">
        <v>308</v>
      </c>
      <c r="J16" s="4" t="s">
        <v>273</v>
      </c>
      <c r="K16" s="23" t="s">
        <v>14</v>
      </c>
    </row>
    <row r="17" customFormat="false" ht="35.05" hidden="false" customHeight="true" outlineLevel="0" collapsed="false">
      <c r="A17" s="18" t="s">
        <v>309</v>
      </c>
      <c r="B17" s="19" t="s">
        <v>227</v>
      </c>
      <c r="C17" s="20" t="s">
        <v>302</v>
      </c>
      <c r="D17" s="21" t="s">
        <v>303</v>
      </c>
      <c r="E17" s="20" t="s">
        <v>285</v>
      </c>
      <c r="F17" s="20" t="s">
        <v>310</v>
      </c>
      <c r="G17" s="20" t="s">
        <v>311</v>
      </c>
      <c r="H17" s="21" t="s">
        <v>271</v>
      </c>
      <c r="I17" s="20" t="s">
        <v>312</v>
      </c>
      <c r="J17" s="21" t="s">
        <v>273</v>
      </c>
      <c r="K17" s="22" t="s">
        <v>14</v>
      </c>
    </row>
    <row r="18" customFormat="false" ht="23.85" hidden="false" customHeight="false" outlineLevel="0" collapsed="false">
      <c r="A18" s="18"/>
      <c r="B18" s="18"/>
      <c r="C18" s="5"/>
      <c r="D18" s="5"/>
      <c r="E18" s="5"/>
      <c r="F18" s="5"/>
      <c r="G18" s="5" t="s">
        <v>313</v>
      </c>
      <c r="H18" s="4" t="s">
        <v>279</v>
      </c>
      <c r="I18" s="5" t="s">
        <v>314</v>
      </c>
      <c r="J18" s="4" t="s">
        <v>296</v>
      </c>
      <c r="K18" s="23" t="n">
        <v>6000</v>
      </c>
    </row>
    <row r="19" customFormat="false" ht="35.05" hidden="false" customHeight="true" outlineLevel="0" collapsed="false">
      <c r="A19" s="18" t="s">
        <v>315</v>
      </c>
      <c r="B19" s="19" t="s">
        <v>237</v>
      </c>
      <c r="C19" s="20" t="s">
        <v>316</v>
      </c>
      <c r="D19" s="21" t="s">
        <v>284</v>
      </c>
      <c r="E19" s="20" t="s">
        <v>21</v>
      </c>
      <c r="F19" s="20" t="s">
        <v>317</v>
      </c>
      <c r="G19" s="20" t="s">
        <v>318</v>
      </c>
      <c r="H19" s="21" t="s">
        <v>279</v>
      </c>
      <c r="I19" s="20" t="s">
        <v>319</v>
      </c>
      <c r="J19" s="21" t="s">
        <v>21</v>
      </c>
      <c r="K19" s="22" t="n">
        <v>4500</v>
      </c>
    </row>
    <row r="20" customFormat="false" ht="23.85" hidden="false" customHeight="false" outlineLevel="0" collapsed="false">
      <c r="A20" s="18"/>
      <c r="B20" s="18"/>
      <c r="C20" s="5" t="s">
        <v>320</v>
      </c>
      <c r="D20" s="4" t="s">
        <v>284</v>
      </c>
      <c r="E20" s="5" t="s">
        <v>21</v>
      </c>
      <c r="F20" s="5" t="s">
        <v>321</v>
      </c>
      <c r="G20" s="5"/>
      <c r="H20" s="5"/>
      <c r="I20" s="5"/>
      <c r="J20" s="5"/>
      <c r="K20" s="5"/>
    </row>
    <row r="21" customFormat="false" ht="35.05" hidden="false" customHeight="true" outlineLevel="0" collapsed="false">
      <c r="A21" s="18" t="s">
        <v>322</v>
      </c>
      <c r="B21" s="19" t="s">
        <v>246</v>
      </c>
      <c r="C21" s="20" t="s">
        <v>323</v>
      </c>
      <c r="D21" s="21" t="s">
        <v>303</v>
      </c>
      <c r="E21" s="20" t="s">
        <v>324</v>
      </c>
      <c r="F21" s="20" t="s">
        <v>325</v>
      </c>
      <c r="G21" s="20" t="s">
        <v>326</v>
      </c>
      <c r="H21" s="21" t="s">
        <v>271</v>
      </c>
      <c r="I21" s="20" t="s">
        <v>327</v>
      </c>
      <c r="J21" s="21" t="s">
        <v>273</v>
      </c>
      <c r="K21" s="22" t="s">
        <v>14</v>
      </c>
    </row>
    <row r="22" customFormat="false" ht="23.85" hidden="false" customHeight="false" outlineLevel="0" collapsed="false">
      <c r="A22" s="18"/>
      <c r="B22" s="18"/>
      <c r="C22" s="5" t="s">
        <v>328</v>
      </c>
      <c r="D22" s="4" t="s">
        <v>284</v>
      </c>
      <c r="E22" s="5" t="s">
        <v>324</v>
      </c>
      <c r="F22" s="5" t="s">
        <v>329</v>
      </c>
      <c r="G22" s="5" t="s">
        <v>330</v>
      </c>
      <c r="H22" s="4" t="s">
        <v>288</v>
      </c>
      <c r="I22" s="5" t="s">
        <v>331</v>
      </c>
      <c r="J22" s="4" t="s">
        <v>273</v>
      </c>
      <c r="K22" s="23" t="s">
        <v>14</v>
      </c>
    </row>
    <row r="24" customFormat="false" ht="15" hidden="false" customHeight="false" outlineLevel="0" collapsed="false">
      <c r="A24" s="24" t="s">
        <v>332</v>
      </c>
    </row>
    <row r="25" customFormat="false" ht="15" hidden="false" customHeight="false" outlineLevel="0" collapsed="false">
      <c r="A25" s="25" t="s">
        <v>333</v>
      </c>
    </row>
    <row r="26" customFormat="false" ht="15" hidden="false" customHeight="false" outlineLevel="0" collapsed="false">
      <c r="A26" s="25" t="s">
        <v>334</v>
      </c>
    </row>
    <row r="27" customFormat="false" ht="15" hidden="false" customHeight="false" outlineLevel="0" collapsed="false">
      <c r="A27" s="25" t="s">
        <v>335</v>
      </c>
    </row>
  </sheetData>
  <mergeCells count="12">
    <mergeCell ref="A7:A9"/>
    <mergeCell ref="B7:B9"/>
    <mergeCell ref="A10:A13"/>
    <mergeCell ref="B10:B13"/>
    <mergeCell ref="A14:A16"/>
    <mergeCell ref="B14:B16"/>
    <mergeCell ref="A17:A18"/>
    <mergeCell ref="B17:B18"/>
    <mergeCell ref="A19:A20"/>
    <mergeCell ref="B19:B20"/>
    <mergeCell ref="A21:A22"/>
    <mergeCell ref="B21:B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2" min="2" style="0" width="40"/>
    <col collapsed="false" customWidth="true" hidden="false" outlineLevel="0" max="3" min="3" style="0" width="26"/>
    <col collapsed="false" customWidth="true" hidden="false" outlineLevel="0" max="4" min="4" style="0" width="18"/>
    <col collapsed="false" customWidth="true" hidden="false" outlineLevel="0" max="5" min="5" style="0" width="26"/>
    <col collapsed="false" customWidth="true" hidden="false" outlineLevel="0" max="6" min="6" style="0" width="52"/>
    <col collapsed="false" customWidth="true" hidden="false" outlineLevel="0" max="7" min="7" style="0" width="32"/>
    <col collapsed="false" customWidth="true" hidden="false" outlineLevel="0" max="8" min="8" style="0" width="10"/>
    <col collapsed="false" customWidth="true" hidden="false" outlineLevel="0" max="9" min="9" style="0" width="58"/>
    <col collapsed="false" customWidth="true" hidden="false" outlineLevel="0" max="10" min="10" style="0" width="20"/>
    <col collapsed="false" customWidth="true" hidden="false" outlineLevel="0" max="11" min="11" style="0" width="11"/>
  </cols>
  <sheetData>
    <row r="1" customFormat="false" ht="17.35" hidden="false" customHeight="false" outlineLevel="0" collapsed="false">
      <c r="A1" s="1" t="s">
        <v>336</v>
      </c>
    </row>
    <row r="2" customFormat="false" ht="15" hidden="false" customHeight="false" outlineLevel="0" collapsed="false">
      <c r="A2" s="2" t="s">
        <v>337</v>
      </c>
    </row>
    <row r="4" customFormat="false" ht="15" hidden="false" customHeight="false" outlineLevel="0" collapsed="false">
      <c r="A4" s="15" t="s">
        <v>252</v>
      </c>
      <c r="B4" s="16" t="n">
        <f aca="false">SUMPRODUCT((C7:C23&lt;&gt;"")/COUNTIF(C7:C23,C7:C23&amp;""))</f>
        <v>10</v>
      </c>
      <c r="C4" s="15" t="s">
        <v>253</v>
      </c>
      <c r="D4" s="16" t="n">
        <f aca="false">COUNTA(A7:A23)</f>
        <v>8</v>
      </c>
      <c r="E4" s="15" t="s">
        <v>254</v>
      </c>
      <c r="F4" s="16" t="n">
        <f aca="false">COUNTA(G7:G23)</f>
        <v>17</v>
      </c>
      <c r="G4" s="15" t="s">
        <v>255</v>
      </c>
      <c r="H4" s="16" t="n">
        <f aca="false">COUNTIF(H7:H23,"agente")</f>
        <v>6</v>
      </c>
      <c r="I4" s="15" t="s">
        <v>256</v>
      </c>
      <c r="J4" s="17" t="n">
        <f aca="false">SUM(K7:K23)</f>
        <v>0</v>
      </c>
    </row>
    <row r="6" customFormat="false" ht="23.85" hidden="false" customHeight="false" outlineLevel="0" collapsed="false">
      <c r="A6" s="3" t="s">
        <v>202</v>
      </c>
      <c r="B6" s="3" t="s">
        <v>203</v>
      </c>
      <c r="C6" s="3" t="s">
        <v>257</v>
      </c>
      <c r="D6" s="3" t="s">
        <v>258</v>
      </c>
      <c r="E6" s="3" t="s">
        <v>259</v>
      </c>
      <c r="F6" s="3" t="s">
        <v>260</v>
      </c>
      <c r="G6" s="3" t="s">
        <v>261</v>
      </c>
      <c r="H6" s="3" t="s">
        <v>262</v>
      </c>
      <c r="I6" s="3" t="s">
        <v>263</v>
      </c>
      <c r="J6" s="3" t="s">
        <v>264</v>
      </c>
      <c r="K6" s="3" t="s">
        <v>256</v>
      </c>
    </row>
    <row r="7" customFormat="false" ht="35.05" hidden="false" customHeight="true" outlineLevel="0" collapsed="false">
      <c r="A7" s="18" t="s">
        <v>265</v>
      </c>
      <c r="B7" s="19" t="s">
        <v>212</v>
      </c>
      <c r="C7" s="20" t="s">
        <v>338</v>
      </c>
      <c r="D7" s="21" t="s">
        <v>303</v>
      </c>
      <c r="E7" s="20" t="s">
        <v>339</v>
      </c>
      <c r="F7" s="20" t="s">
        <v>340</v>
      </c>
      <c r="G7" s="20" t="s">
        <v>341</v>
      </c>
      <c r="H7" s="21" t="s">
        <v>271</v>
      </c>
      <c r="I7" s="20" t="s">
        <v>342</v>
      </c>
      <c r="J7" s="21" t="s">
        <v>273</v>
      </c>
      <c r="K7" s="22" t="s">
        <v>14</v>
      </c>
    </row>
    <row r="8" customFormat="false" ht="23.85" hidden="false" customHeight="false" outlineLevel="0" collapsed="false">
      <c r="A8" s="18"/>
      <c r="B8" s="18"/>
      <c r="C8" s="5"/>
      <c r="D8" s="5"/>
      <c r="E8" s="5"/>
      <c r="F8" s="5"/>
      <c r="G8" s="5" t="s">
        <v>343</v>
      </c>
      <c r="H8" s="4" t="s">
        <v>271</v>
      </c>
      <c r="I8" s="5" t="s">
        <v>344</v>
      </c>
      <c r="J8" s="4" t="s">
        <v>273</v>
      </c>
      <c r="K8" s="23" t="s">
        <v>14</v>
      </c>
    </row>
    <row r="9" customFormat="false" ht="35.05" hidden="false" customHeight="true" outlineLevel="0" collapsed="false">
      <c r="A9" s="18" t="s">
        <v>282</v>
      </c>
      <c r="B9" s="19" t="s">
        <v>217</v>
      </c>
      <c r="C9" s="20" t="s">
        <v>345</v>
      </c>
      <c r="D9" s="21" t="s">
        <v>284</v>
      </c>
      <c r="E9" s="20" t="s">
        <v>346</v>
      </c>
      <c r="F9" s="20" t="s">
        <v>347</v>
      </c>
      <c r="G9" s="20" t="s">
        <v>348</v>
      </c>
      <c r="H9" s="21" t="s">
        <v>271</v>
      </c>
      <c r="I9" s="20" t="s">
        <v>349</v>
      </c>
      <c r="J9" s="21" t="s">
        <v>273</v>
      </c>
      <c r="K9" s="22" t="s">
        <v>14</v>
      </c>
    </row>
    <row r="10" customFormat="false" ht="23.85" hidden="false" customHeight="false" outlineLevel="0" collapsed="false">
      <c r="A10" s="18"/>
      <c r="B10" s="18"/>
      <c r="C10" s="5"/>
      <c r="D10" s="5"/>
      <c r="E10" s="5"/>
      <c r="F10" s="5"/>
      <c r="G10" s="5" t="s">
        <v>350</v>
      </c>
      <c r="H10" s="4" t="s">
        <v>271</v>
      </c>
      <c r="I10" s="5" t="s">
        <v>351</v>
      </c>
      <c r="J10" s="4" t="s">
        <v>273</v>
      </c>
      <c r="K10" s="23" t="s">
        <v>14</v>
      </c>
    </row>
    <row r="11" customFormat="false" ht="23.85" hidden="false" customHeight="false" outlineLevel="0" collapsed="false">
      <c r="A11" s="18"/>
      <c r="B11" s="18"/>
      <c r="C11" s="5"/>
      <c r="D11" s="5"/>
      <c r="E11" s="5"/>
      <c r="F11" s="5"/>
      <c r="G11" s="5" t="s">
        <v>352</v>
      </c>
      <c r="H11" s="4" t="s">
        <v>279</v>
      </c>
      <c r="I11" s="5" t="s">
        <v>353</v>
      </c>
      <c r="J11" s="4" t="s">
        <v>354</v>
      </c>
      <c r="K11" s="23" t="n">
        <v>0</v>
      </c>
    </row>
    <row r="12" customFormat="false" ht="35.05" hidden="false" customHeight="true" outlineLevel="0" collapsed="false">
      <c r="A12" s="18" t="s">
        <v>297</v>
      </c>
      <c r="B12" s="19" t="s">
        <v>221</v>
      </c>
      <c r="C12" s="20" t="s">
        <v>355</v>
      </c>
      <c r="D12" s="21" t="s">
        <v>267</v>
      </c>
      <c r="E12" s="20" t="s">
        <v>356</v>
      </c>
      <c r="F12" s="20" t="s">
        <v>357</v>
      </c>
      <c r="G12" s="20" t="s">
        <v>358</v>
      </c>
      <c r="H12" s="21" t="s">
        <v>271</v>
      </c>
      <c r="I12" s="20" t="s">
        <v>359</v>
      </c>
      <c r="J12" s="21" t="s">
        <v>273</v>
      </c>
      <c r="K12" s="22" t="s">
        <v>14</v>
      </c>
    </row>
    <row r="13" customFormat="false" ht="35.05" hidden="false" customHeight="false" outlineLevel="0" collapsed="false">
      <c r="A13" s="18"/>
      <c r="B13" s="18"/>
      <c r="C13" s="5" t="s">
        <v>302</v>
      </c>
      <c r="D13" s="4" t="s">
        <v>303</v>
      </c>
      <c r="E13" s="5" t="s">
        <v>356</v>
      </c>
      <c r="F13" s="5" t="s">
        <v>360</v>
      </c>
      <c r="G13" s="5" t="s">
        <v>361</v>
      </c>
      <c r="H13" s="4" t="s">
        <v>279</v>
      </c>
      <c r="I13" s="5" t="s">
        <v>362</v>
      </c>
      <c r="J13" s="4" t="s">
        <v>363</v>
      </c>
      <c r="K13" s="23" t="n">
        <v>0</v>
      </c>
    </row>
    <row r="14" customFormat="false" ht="35.05" hidden="false" customHeight="false" outlineLevel="0" collapsed="false">
      <c r="A14" s="18" t="s">
        <v>309</v>
      </c>
      <c r="B14" s="19" t="s">
        <v>227</v>
      </c>
      <c r="C14" s="20" t="s">
        <v>302</v>
      </c>
      <c r="D14" s="21" t="s">
        <v>303</v>
      </c>
      <c r="E14" s="20" t="s">
        <v>356</v>
      </c>
      <c r="F14" s="20" t="s">
        <v>364</v>
      </c>
      <c r="G14" s="20" t="s">
        <v>365</v>
      </c>
      <c r="H14" s="21" t="s">
        <v>279</v>
      </c>
      <c r="I14" s="20" t="s">
        <v>366</v>
      </c>
      <c r="J14" s="21" t="s">
        <v>367</v>
      </c>
      <c r="K14" s="22" t="n">
        <v>0</v>
      </c>
    </row>
    <row r="15" customFormat="false" ht="35.05" hidden="false" customHeight="true" outlineLevel="0" collapsed="false">
      <c r="A15" s="18" t="s">
        <v>368</v>
      </c>
      <c r="B15" s="19" t="s">
        <v>232</v>
      </c>
      <c r="C15" s="20" t="s">
        <v>369</v>
      </c>
      <c r="D15" s="21" t="s">
        <v>267</v>
      </c>
      <c r="E15" s="20" t="s">
        <v>370</v>
      </c>
      <c r="F15" s="20" t="s">
        <v>371</v>
      </c>
      <c r="G15" s="20" t="s">
        <v>372</v>
      </c>
      <c r="H15" s="21" t="s">
        <v>288</v>
      </c>
      <c r="I15" s="20" t="s">
        <v>373</v>
      </c>
      <c r="J15" s="21" t="s">
        <v>273</v>
      </c>
      <c r="K15" s="22" t="s">
        <v>14</v>
      </c>
    </row>
    <row r="16" customFormat="false" ht="35.05" hidden="false" customHeight="false" outlineLevel="0" collapsed="false">
      <c r="A16" s="18"/>
      <c r="B16" s="18"/>
      <c r="C16" s="5"/>
      <c r="D16" s="5"/>
      <c r="E16" s="5"/>
      <c r="F16" s="5"/>
      <c r="G16" s="5" t="s">
        <v>374</v>
      </c>
      <c r="H16" s="4" t="s">
        <v>279</v>
      </c>
      <c r="I16" s="5" t="s">
        <v>375</v>
      </c>
      <c r="J16" s="4" t="s">
        <v>376</v>
      </c>
      <c r="K16" s="23" t="n">
        <v>0</v>
      </c>
    </row>
    <row r="17" customFormat="false" ht="35.05" hidden="false" customHeight="true" outlineLevel="0" collapsed="false">
      <c r="A17" s="18" t="s">
        <v>315</v>
      </c>
      <c r="B17" s="19" t="s">
        <v>237</v>
      </c>
      <c r="C17" s="20" t="s">
        <v>377</v>
      </c>
      <c r="D17" s="21" t="s">
        <v>284</v>
      </c>
      <c r="E17" s="20" t="s">
        <v>21</v>
      </c>
      <c r="F17" s="20" t="s">
        <v>378</v>
      </c>
      <c r="G17" s="20" t="s">
        <v>379</v>
      </c>
      <c r="H17" s="21" t="s">
        <v>288</v>
      </c>
      <c r="I17" s="20" t="s">
        <v>380</v>
      </c>
      <c r="J17" s="21" t="s">
        <v>273</v>
      </c>
      <c r="K17" s="22" t="s">
        <v>14</v>
      </c>
    </row>
    <row r="18" customFormat="false" ht="35.05" hidden="false" customHeight="false" outlineLevel="0" collapsed="false">
      <c r="A18" s="18"/>
      <c r="B18" s="18"/>
      <c r="C18" s="5" t="s">
        <v>381</v>
      </c>
      <c r="D18" s="4" t="s">
        <v>284</v>
      </c>
      <c r="E18" s="5" t="s">
        <v>21</v>
      </c>
      <c r="F18" s="5" t="s">
        <v>382</v>
      </c>
      <c r="G18" s="5" t="s">
        <v>383</v>
      </c>
      <c r="H18" s="4" t="s">
        <v>279</v>
      </c>
      <c r="I18" s="5" t="s">
        <v>384</v>
      </c>
      <c r="J18" s="4" t="s">
        <v>21</v>
      </c>
      <c r="K18" s="23" t="n">
        <v>0</v>
      </c>
    </row>
    <row r="19" customFormat="false" ht="35.05" hidden="false" customHeight="false" outlineLevel="0" collapsed="false">
      <c r="A19" s="18" t="s">
        <v>385</v>
      </c>
      <c r="B19" s="19" t="s">
        <v>242</v>
      </c>
      <c r="C19" s="20" t="s">
        <v>386</v>
      </c>
      <c r="D19" s="21" t="s">
        <v>284</v>
      </c>
      <c r="E19" s="20" t="s">
        <v>387</v>
      </c>
      <c r="F19" s="20" t="s">
        <v>388</v>
      </c>
      <c r="G19" s="20" t="s">
        <v>389</v>
      </c>
      <c r="H19" s="21" t="s">
        <v>288</v>
      </c>
      <c r="I19" s="20" t="s">
        <v>390</v>
      </c>
      <c r="J19" s="21" t="s">
        <v>273</v>
      </c>
      <c r="K19" s="22" t="s">
        <v>14</v>
      </c>
    </row>
    <row r="20" customFormat="false" ht="23.85" hidden="false" customHeight="true" outlineLevel="0" collapsed="false">
      <c r="A20" s="18" t="s">
        <v>322</v>
      </c>
      <c r="B20" s="19" t="s">
        <v>246</v>
      </c>
      <c r="C20" s="20" t="s">
        <v>323</v>
      </c>
      <c r="D20" s="21" t="s">
        <v>303</v>
      </c>
      <c r="E20" s="20" t="s">
        <v>391</v>
      </c>
      <c r="F20" s="20" t="s">
        <v>392</v>
      </c>
      <c r="G20" s="20" t="s">
        <v>393</v>
      </c>
      <c r="H20" s="21" t="s">
        <v>271</v>
      </c>
      <c r="I20" s="20" t="s">
        <v>394</v>
      </c>
      <c r="J20" s="21" t="s">
        <v>273</v>
      </c>
      <c r="K20" s="22" t="s">
        <v>14</v>
      </c>
    </row>
    <row r="21" customFormat="false" ht="23.85" hidden="false" customHeight="false" outlineLevel="0" collapsed="false">
      <c r="A21" s="18"/>
      <c r="B21" s="18"/>
      <c r="C21" s="5" t="s">
        <v>395</v>
      </c>
      <c r="D21" s="4" t="s">
        <v>284</v>
      </c>
      <c r="E21" s="5" t="s">
        <v>391</v>
      </c>
      <c r="F21" s="5" t="s">
        <v>396</v>
      </c>
      <c r="G21" s="5" t="s">
        <v>397</v>
      </c>
      <c r="H21" s="4" t="s">
        <v>271</v>
      </c>
      <c r="I21" s="5" t="s">
        <v>398</v>
      </c>
      <c r="J21" s="4" t="s">
        <v>273</v>
      </c>
      <c r="K21" s="23" t="s">
        <v>14</v>
      </c>
    </row>
    <row r="22" customFormat="false" ht="23.85" hidden="false" customHeight="false" outlineLevel="0" collapsed="false">
      <c r="A22" s="18"/>
      <c r="B22" s="18"/>
      <c r="C22" s="5"/>
      <c r="D22" s="5"/>
      <c r="E22" s="5"/>
      <c r="F22" s="5"/>
      <c r="G22" s="5" t="s">
        <v>399</v>
      </c>
      <c r="H22" s="4" t="s">
        <v>288</v>
      </c>
      <c r="I22" s="5" t="s">
        <v>400</v>
      </c>
      <c r="J22" s="4" t="s">
        <v>273</v>
      </c>
      <c r="K22" s="23" t="s">
        <v>14</v>
      </c>
    </row>
    <row r="23" customFormat="false" ht="23.85" hidden="false" customHeight="false" outlineLevel="0" collapsed="false">
      <c r="A23" s="18"/>
      <c r="B23" s="18"/>
      <c r="C23" s="5"/>
      <c r="D23" s="5"/>
      <c r="E23" s="5"/>
      <c r="F23" s="5"/>
      <c r="G23" s="5" t="s">
        <v>401</v>
      </c>
      <c r="H23" s="4" t="s">
        <v>279</v>
      </c>
      <c r="I23" s="5" t="s">
        <v>402</v>
      </c>
      <c r="J23" s="4" t="s">
        <v>403</v>
      </c>
      <c r="K23" s="23" t="n">
        <v>0</v>
      </c>
    </row>
    <row r="25" customFormat="false" ht="15" hidden="false" customHeight="false" outlineLevel="0" collapsed="false">
      <c r="A25" s="24" t="s">
        <v>332</v>
      </c>
    </row>
    <row r="26" customFormat="false" ht="15" hidden="false" customHeight="false" outlineLevel="0" collapsed="false">
      <c r="A26" s="25" t="s">
        <v>404</v>
      </c>
    </row>
    <row r="27" customFormat="false" ht="15" hidden="false" customHeight="false" outlineLevel="0" collapsed="false">
      <c r="A27" s="25" t="s">
        <v>405</v>
      </c>
    </row>
    <row r="28" customFormat="false" ht="15" hidden="false" customHeight="false" outlineLevel="0" collapsed="false">
      <c r="A28" s="25" t="s">
        <v>406</v>
      </c>
    </row>
    <row r="29" customFormat="false" ht="15" hidden="false" customHeight="false" outlineLevel="0" collapsed="false">
      <c r="A29" s="25" t="s">
        <v>407</v>
      </c>
    </row>
    <row r="30" customFormat="false" ht="15" hidden="false" customHeight="false" outlineLevel="0" collapsed="false">
      <c r="A30" s="25" t="s">
        <v>335</v>
      </c>
    </row>
  </sheetData>
  <mergeCells count="12">
    <mergeCell ref="A7:A8"/>
    <mergeCell ref="B7:B8"/>
    <mergeCell ref="A9:A11"/>
    <mergeCell ref="B9:B11"/>
    <mergeCell ref="A12:A13"/>
    <mergeCell ref="B12:B13"/>
    <mergeCell ref="A15:A16"/>
    <mergeCell ref="B15:B16"/>
    <mergeCell ref="A17:A18"/>
    <mergeCell ref="B17:B18"/>
    <mergeCell ref="A20:A23"/>
    <mergeCell ref="B20:B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2" min="2" style="0" width="40"/>
    <col collapsed="false" customWidth="true" hidden="false" outlineLevel="0" max="3" min="3" style="0" width="26"/>
    <col collapsed="false" customWidth="true" hidden="false" outlineLevel="0" max="4" min="4" style="0" width="18"/>
    <col collapsed="false" customWidth="true" hidden="false" outlineLevel="0" max="5" min="5" style="0" width="26"/>
    <col collapsed="false" customWidth="true" hidden="false" outlineLevel="0" max="6" min="6" style="0" width="52"/>
    <col collapsed="false" customWidth="true" hidden="false" outlineLevel="0" max="7" min="7" style="0" width="32"/>
    <col collapsed="false" customWidth="true" hidden="false" outlineLevel="0" max="8" min="8" style="0" width="10"/>
    <col collapsed="false" customWidth="true" hidden="false" outlineLevel="0" max="9" min="9" style="0" width="58"/>
    <col collapsed="false" customWidth="true" hidden="false" outlineLevel="0" max="10" min="10" style="0" width="20"/>
    <col collapsed="false" customWidth="true" hidden="false" outlineLevel="0" max="11" min="11" style="0" width="11"/>
  </cols>
  <sheetData>
    <row r="1" customFormat="false" ht="17.35" hidden="false" customHeight="false" outlineLevel="0" collapsed="false">
      <c r="A1" s="1" t="s">
        <v>408</v>
      </c>
    </row>
    <row r="2" customFormat="false" ht="15" hidden="false" customHeight="false" outlineLevel="0" collapsed="false">
      <c r="A2" s="2" t="s">
        <v>409</v>
      </c>
    </row>
    <row r="4" customFormat="false" ht="15" hidden="false" customHeight="false" outlineLevel="0" collapsed="false">
      <c r="A4" s="15" t="s">
        <v>252</v>
      </c>
      <c r="B4" s="16" t="n">
        <f aca="false">SUMPRODUCT((C7:C20&lt;&gt;"")/COUNTIF(C7:C20,C7:C20&amp;""))</f>
        <v>7</v>
      </c>
      <c r="C4" s="15" t="s">
        <v>253</v>
      </c>
      <c r="D4" s="16" t="n">
        <f aca="false">COUNTA(A7:A20)</f>
        <v>5</v>
      </c>
      <c r="E4" s="15" t="s">
        <v>254</v>
      </c>
      <c r="F4" s="16" t="n">
        <f aca="false">COUNTA(G7:G20)</f>
        <v>14</v>
      </c>
      <c r="G4" s="15" t="s">
        <v>255</v>
      </c>
      <c r="H4" s="16" t="n">
        <f aca="false">COUNTIF(H7:H20,"agente")</f>
        <v>4</v>
      </c>
      <c r="I4" s="15" t="s">
        <v>256</v>
      </c>
      <c r="J4" s="17" t="n">
        <f aca="false">SUM(K7:K20)</f>
        <v>0</v>
      </c>
    </row>
    <row r="6" customFormat="false" ht="23.85" hidden="false" customHeight="false" outlineLevel="0" collapsed="false">
      <c r="A6" s="3" t="s">
        <v>202</v>
      </c>
      <c r="B6" s="3" t="s">
        <v>203</v>
      </c>
      <c r="C6" s="3" t="s">
        <v>257</v>
      </c>
      <c r="D6" s="3" t="s">
        <v>258</v>
      </c>
      <c r="E6" s="3" t="s">
        <v>259</v>
      </c>
      <c r="F6" s="3" t="s">
        <v>260</v>
      </c>
      <c r="G6" s="3" t="s">
        <v>261</v>
      </c>
      <c r="H6" s="3" t="s">
        <v>262</v>
      </c>
      <c r="I6" s="3" t="s">
        <v>263</v>
      </c>
      <c r="J6" s="3" t="s">
        <v>264</v>
      </c>
      <c r="K6" s="3" t="s">
        <v>256</v>
      </c>
    </row>
    <row r="7" customFormat="false" ht="35.05" hidden="false" customHeight="true" outlineLevel="0" collapsed="false">
      <c r="A7" s="18" t="s">
        <v>265</v>
      </c>
      <c r="B7" s="19" t="s">
        <v>212</v>
      </c>
      <c r="C7" s="20" t="s">
        <v>338</v>
      </c>
      <c r="D7" s="21" t="s">
        <v>267</v>
      </c>
      <c r="E7" s="20" t="s">
        <v>410</v>
      </c>
      <c r="F7" s="20" t="s">
        <v>411</v>
      </c>
      <c r="G7" s="20" t="s">
        <v>412</v>
      </c>
      <c r="H7" s="21" t="s">
        <v>271</v>
      </c>
      <c r="I7" s="20" t="s">
        <v>413</v>
      </c>
      <c r="J7" s="21" t="s">
        <v>273</v>
      </c>
      <c r="K7" s="22" t="s">
        <v>14</v>
      </c>
    </row>
    <row r="8" customFormat="false" ht="23.85" hidden="false" customHeight="false" outlineLevel="0" collapsed="false">
      <c r="A8" s="18"/>
      <c r="B8" s="18"/>
      <c r="C8" s="5"/>
      <c r="D8" s="5"/>
      <c r="E8" s="5"/>
      <c r="F8" s="5"/>
      <c r="G8" s="5" t="s">
        <v>414</v>
      </c>
      <c r="H8" s="4" t="s">
        <v>288</v>
      </c>
      <c r="I8" s="5" t="s">
        <v>415</v>
      </c>
      <c r="J8" s="4" t="s">
        <v>273</v>
      </c>
      <c r="K8" s="23" t="s">
        <v>14</v>
      </c>
    </row>
    <row r="9" customFormat="false" ht="35.05" hidden="false" customHeight="true" outlineLevel="0" collapsed="false">
      <c r="A9" s="18" t="s">
        <v>282</v>
      </c>
      <c r="B9" s="19" t="s">
        <v>217</v>
      </c>
      <c r="C9" s="20" t="s">
        <v>416</v>
      </c>
      <c r="D9" s="21" t="s">
        <v>284</v>
      </c>
      <c r="E9" s="20" t="s">
        <v>417</v>
      </c>
      <c r="F9" s="20" t="s">
        <v>418</v>
      </c>
      <c r="G9" s="20" t="s">
        <v>419</v>
      </c>
      <c r="H9" s="21" t="s">
        <v>271</v>
      </c>
      <c r="I9" s="20" t="s">
        <v>420</v>
      </c>
      <c r="J9" s="21" t="s">
        <v>273</v>
      </c>
      <c r="K9" s="22" t="s">
        <v>14</v>
      </c>
    </row>
    <row r="10" customFormat="false" ht="23.85" hidden="false" customHeight="false" outlineLevel="0" collapsed="false">
      <c r="A10" s="18"/>
      <c r="B10" s="18"/>
      <c r="C10" s="5"/>
      <c r="D10" s="5"/>
      <c r="E10" s="5"/>
      <c r="F10" s="5"/>
      <c r="G10" s="5" t="s">
        <v>421</v>
      </c>
      <c r="H10" s="4" t="s">
        <v>279</v>
      </c>
      <c r="I10" s="5" t="s">
        <v>422</v>
      </c>
      <c r="J10" s="4" t="s">
        <v>423</v>
      </c>
      <c r="K10" s="23" t="n">
        <v>0</v>
      </c>
    </row>
    <row r="11" customFormat="false" ht="35.05" hidden="false" customHeight="true" outlineLevel="0" collapsed="false">
      <c r="A11" s="18" t="s">
        <v>368</v>
      </c>
      <c r="B11" s="19" t="s">
        <v>232</v>
      </c>
      <c r="C11" s="20" t="s">
        <v>424</v>
      </c>
      <c r="D11" s="21" t="s">
        <v>425</v>
      </c>
      <c r="E11" s="20" t="s">
        <v>426</v>
      </c>
      <c r="F11" s="20" t="s">
        <v>427</v>
      </c>
      <c r="G11" s="20" t="s">
        <v>428</v>
      </c>
      <c r="H11" s="21" t="s">
        <v>288</v>
      </c>
      <c r="I11" s="20" t="s">
        <v>429</v>
      </c>
      <c r="J11" s="21" t="s">
        <v>273</v>
      </c>
      <c r="K11" s="22" t="s">
        <v>14</v>
      </c>
    </row>
    <row r="12" customFormat="false" ht="35.05" hidden="false" customHeight="false" outlineLevel="0" collapsed="false">
      <c r="A12" s="18"/>
      <c r="B12" s="18"/>
      <c r="C12" s="5" t="s">
        <v>430</v>
      </c>
      <c r="D12" s="4" t="s">
        <v>267</v>
      </c>
      <c r="E12" s="5" t="s">
        <v>426</v>
      </c>
      <c r="F12" s="5" t="s">
        <v>431</v>
      </c>
      <c r="G12" s="5" t="s">
        <v>432</v>
      </c>
      <c r="H12" s="4" t="s">
        <v>288</v>
      </c>
      <c r="I12" s="5" t="s">
        <v>433</v>
      </c>
      <c r="J12" s="4" t="s">
        <v>273</v>
      </c>
      <c r="K12" s="23" t="s">
        <v>14</v>
      </c>
    </row>
    <row r="13" customFormat="false" ht="35.05" hidden="false" customHeight="false" outlineLevel="0" collapsed="false">
      <c r="A13" s="18"/>
      <c r="B13" s="18"/>
      <c r="C13" s="5"/>
      <c r="D13" s="5"/>
      <c r="E13" s="5"/>
      <c r="F13" s="5"/>
      <c r="G13" s="5" t="s">
        <v>434</v>
      </c>
      <c r="H13" s="4" t="s">
        <v>271</v>
      </c>
      <c r="I13" s="5" t="s">
        <v>435</v>
      </c>
      <c r="J13" s="4" t="s">
        <v>273</v>
      </c>
      <c r="K13" s="23" t="s">
        <v>14</v>
      </c>
    </row>
    <row r="14" customFormat="false" ht="35.05" hidden="false" customHeight="false" outlineLevel="0" collapsed="false">
      <c r="A14" s="18"/>
      <c r="B14" s="18"/>
      <c r="C14" s="5"/>
      <c r="D14" s="5"/>
      <c r="E14" s="5"/>
      <c r="F14" s="5"/>
      <c r="G14" s="5" t="s">
        <v>436</v>
      </c>
      <c r="H14" s="4" t="s">
        <v>279</v>
      </c>
      <c r="I14" s="5" t="s">
        <v>437</v>
      </c>
      <c r="J14" s="4" t="s">
        <v>273</v>
      </c>
      <c r="K14" s="23" t="s">
        <v>14</v>
      </c>
    </row>
    <row r="15" customFormat="false" ht="35.05" hidden="false" customHeight="true" outlineLevel="0" collapsed="false">
      <c r="A15" s="18" t="s">
        <v>315</v>
      </c>
      <c r="B15" s="19" t="s">
        <v>237</v>
      </c>
      <c r="C15" s="20" t="s">
        <v>438</v>
      </c>
      <c r="D15" s="21" t="s">
        <v>284</v>
      </c>
      <c r="E15" s="20" t="s">
        <v>439</v>
      </c>
      <c r="F15" s="20" t="s">
        <v>440</v>
      </c>
      <c r="G15" s="20" t="s">
        <v>441</v>
      </c>
      <c r="H15" s="21" t="s">
        <v>288</v>
      </c>
      <c r="I15" s="20" t="s">
        <v>442</v>
      </c>
      <c r="J15" s="21" t="s">
        <v>273</v>
      </c>
      <c r="K15" s="22" t="s">
        <v>14</v>
      </c>
    </row>
    <row r="16" customFormat="false" ht="35.05" hidden="false" customHeight="false" outlineLevel="0" collapsed="false">
      <c r="A16" s="18"/>
      <c r="B16" s="18"/>
      <c r="C16" s="5" t="s">
        <v>443</v>
      </c>
      <c r="D16" s="4" t="s">
        <v>284</v>
      </c>
      <c r="E16" s="5" t="s">
        <v>439</v>
      </c>
      <c r="F16" s="5" t="s">
        <v>444</v>
      </c>
      <c r="G16" s="5" t="s">
        <v>445</v>
      </c>
      <c r="H16" s="4" t="s">
        <v>279</v>
      </c>
      <c r="I16" s="5" t="s">
        <v>446</v>
      </c>
      <c r="J16" s="4" t="s">
        <v>447</v>
      </c>
      <c r="K16" s="23" t="n">
        <v>0</v>
      </c>
    </row>
    <row r="17" customFormat="false" ht="23.85" hidden="false" customHeight="true" outlineLevel="0" collapsed="false">
      <c r="A17" s="18" t="s">
        <v>322</v>
      </c>
      <c r="B17" s="19" t="s">
        <v>246</v>
      </c>
      <c r="C17" s="20" t="s">
        <v>448</v>
      </c>
      <c r="D17" s="21" t="s">
        <v>303</v>
      </c>
      <c r="E17" s="20" t="s">
        <v>449</v>
      </c>
      <c r="F17" s="20" t="s">
        <v>450</v>
      </c>
      <c r="G17" s="20" t="s">
        <v>451</v>
      </c>
      <c r="H17" s="21" t="s">
        <v>271</v>
      </c>
      <c r="I17" s="20" t="s">
        <v>452</v>
      </c>
      <c r="J17" s="21" t="s">
        <v>273</v>
      </c>
      <c r="K17" s="22" t="s">
        <v>14</v>
      </c>
    </row>
    <row r="18" customFormat="false" ht="35.05" hidden="false" customHeight="false" outlineLevel="0" collapsed="false">
      <c r="A18" s="18"/>
      <c r="B18" s="18"/>
      <c r="C18" s="5"/>
      <c r="D18" s="5"/>
      <c r="E18" s="5"/>
      <c r="F18" s="5"/>
      <c r="G18" s="5" t="s">
        <v>453</v>
      </c>
      <c r="H18" s="4" t="s">
        <v>271</v>
      </c>
      <c r="I18" s="5" t="s">
        <v>454</v>
      </c>
      <c r="J18" s="4" t="s">
        <v>273</v>
      </c>
      <c r="K18" s="23" t="s">
        <v>14</v>
      </c>
    </row>
    <row r="19" customFormat="false" ht="23.85" hidden="false" customHeight="false" outlineLevel="0" collapsed="false">
      <c r="A19" s="18"/>
      <c r="B19" s="18"/>
      <c r="C19" s="5"/>
      <c r="D19" s="5"/>
      <c r="E19" s="5"/>
      <c r="F19" s="5"/>
      <c r="G19" s="5" t="s">
        <v>455</v>
      </c>
      <c r="H19" s="4" t="s">
        <v>288</v>
      </c>
      <c r="I19" s="5" t="s">
        <v>456</v>
      </c>
      <c r="J19" s="4" t="s">
        <v>273</v>
      </c>
      <c r="K19" s="23" t="s">
        <v>14</v>
      </c>
    </row>
    <row r="20" customFormat="false" ht="23.85" hidden="false" customHeight="false" outlineLevel="0" collapsed="false">
      <c r="A20" s="18"/>
      <c r="B20" s="18"/>
      <c r="C20" s="5"/>
      <c r="D20" s="5"/>
      <c r="E20" s="5"/>
      <c r="F20" s="5"/>
      <c r="G20" s="5" t="s">
        <v>457</v>
      </c>
      <c r="H20" s="4" t="s">
        <v>279</v>
      </c>
      <c r="I20" s="5" t="s">
        <v>458</v>
      </c>
      <c r="J20" s="4" t="s">
        <v>459</v>
      </c>
      <c r="K20" s="23" t="n">
        <v>0</v>
      </c>
    </row>
    <row r="22" customFormat="false" ht="15" hidden="false" customHeight="false" outlineLevel="0" collapsed="false">
      <c r="A22" s="24" t="s">
        <v>332</v>
      </c>
    </row>
    <row r="23" customFormat="false" ht="15" hidden="false" customHeight="false" outlineLevel="0" collapsed="false">
      <c r="A23" s="25" t="s">
        <v>460</v>
      </c>
    </row>
    <row r="24" customFormat="false" ht="15" hidden="false" customHeight="false" outlineLevel="0" collapsed="false">
      <c r="A24" s="25" t="s">
        <v>461</v>
      </c>
    </row>
    <row r="25" customFormat="false" ht="15" hidden="false" customHeight="false" outlineLevel="0" collapsed="false">
      <c r="A25" s="25" t="s">
        <v>462</v>
      </c>
    </row>
  </sheetData>
  <mergeCells count="10">
    <mergeCell ref="A7:A8"/>
    <mergeCell ref="B7:B8"/>
    <mergeCell ref="A9:A10"/>
    <mergeCell ref="B9:B10"/>
    <mergeCell ref="A11:A14"/>
    <mergeCell ref="B11:B14"/>
    <mergeCell ref="A15:A16"/>
    <mergeCell ref="B15:B16"/>
    <mergeCell ref="A17:A20"/>
    <mergeCell ref="B17:B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9"/>
    <col collapsed="false" customWidth="true" hidden="false" outlineLevel="0" max="3" min="3" style="0" width="34"/>
    <col collapsed="false" customWidth="true" hidden="false" outlineLevel="0" max="4" min="4" style="0" width="13"/>
    <col collapsed="false" customWidth="true" hidden="false" outlineLevel="0" max="5" min="5" style="0" width="15"/>
    <col collapsed="false" customWidth="true" hidden="false" outlineLevel="0" max="6" min="6" style="0" width="26"/>
    <col collapsed="false" customWidth="true" hidden="false" outlineLevel="0" max="7" min="7" style="0" width="30"/>
    <col collapsed="false" customWidth="true" hidden="false" outlineLevel="0" max="8" min="8" style="0" width="62"/>
    <col collapsed="false" customWidth="true" hidden="false" outlineLevel="0" max="9" min="9" style="0" width="40"/>
    <col collapsed="false" customWidth="true" hidden="false" outlineLevel="0" max="11" min="10" style="0" width="10"/>
    <col collapsed="false" customWidth="true" hidden="false" outlineLevel="0" max="12" min="12" style="0" width="40"/>
  </cols>
  <sheetData>
    <row r="1" customFormat="false" ht="17.35" hidden="false" customHeight="false" outlineLevel="0" collapsed="false">
      <c r="A1" s="1" t="s">
        <v>463</v>
      </c>
    </row>
    <row r="2" customFormat="false" ht="15" hidden="false" customHeight="false" outlineLevel="0" collapsed="false">
      <c r="A2" s="2" t="s">
        <v>464</v>
      </c>
    </row>
    <row r="4" customFormat="false" ht="15" hidden="false" customHeight="false" outlineLevel="0" collapsed="false">
      <c r="A4" s="3" t="s">
        <v>465</v>
      </c>
      <c r="B4" s="3" t="s">
        <v>31</v>
      </c>
      <c r="C4" s="3" t="s">
        <v>466</v>
      </c>
      <c r="D4" s="3" t="s">
        <v>112</v>
      </c>
      <c r="E4" s="3" t="s">
        <v>113</v>
      </c>
      <c r="F4" s="3" t="s">
        <v>467</v>
      </c>
      <c r="G4" s="3" t="s">
        <v>3</v>
      </c>
      <c r="H4" s="3" t="s">
        <v>111</v>
      </c>
      <c r="I4" s="3" t="s">
        <v>114</v>
      </c>
      <c r="J4" s="3" t="s">
        <v>468</v>
      </c>
      <c r="K4" s="3" t="s">
        <v>469</v>
      </c>
      <c r="L4" s="3" t="s">
        <v>470</v>
      </c>
    </row>
    <row r="5" customFormat="false" ht="35.05" hidden="false" customHeight="false" outlineLevel="0" collapsed="false">
      <c r="A5" s="5" t="s">
        <v>49</v>
      </c>
      <c r="B5" s="4" t="s">
        <v>471</v>
      </c>
      <c r="C5" s="5" t="s">
        <v>472</v>
      </c>
      <c r="D5" s="4" t="s">
        <v>123</v>
      </c>
      <c r="E5" s="4" t="s">
        <v>124</v>
      </c>
      <c r="F5" s="5" t="s">
        <v>281</v>
      </c>
      <c r="G5" s="5" t="s">
        <v>473</v>
      </c>
      <c r="H5" s="5" t="s">
        <v>474</v>
      </c>
      <c r="I5" s="5" t="s">
        <v>475</v>
      </c>
      <c r="J5" s="4" t="n">
        <v>2</v>
      </c>
      <c r="K5" s="4" t="n">
        <v>5</v>
      </c>
      <c r="L5" s="5" t="s">
        <v>476</v>
      </c>
    </row>
    <row r="6" customFormat="false" ht="23.85" hidden="false" customHeight="false" outlineLevel="0" collapsed="false">
      <c r="A6" s="26" t="s">
        <v>49</v>
      </c>
      <c r="B6" s="27" t="s">
        <v>477</v>
      </c>
      <c r="C6" s="26" t="s">
        <v>472</v>
      </c>
      <c r="D6" s="27" t="s">
        <v>123</v>
      </c>
      <c r="E6" s="27" t="s">
        <v>124</v>
      </c>
      <c r="F6" s="26" t="s">
        <v>281</v>
      </c>
      <c r="G6" s="26" t="s">
        <v>473</v>
      </c>
      <c r="H6" s="26"/>
      <c r="I6" s="26"/>
      <c r="J6" s="27" t="s">
        <v>14</v>
      </c>
      <c r="K6" s="27" t="s">
        <v>14</v>
      </c>
      <c r="L6" s="26" t="s">
        <v>478</v>
      </c>
    </row>
    <row r="7" customFormat="false" ht="23.85" hidden="false" customHeight="false" outlineLevel="0" collapsed="false">
      <c r="A7" s="5" t="s">
        <v>49</v>
      </c>
      <c r="B7" s="4" t="s">
        <v>479</v>
      </c>
      <c r="C7" s="5" t="s">
        <v>480</v>
      </c>
      <c r="D7" s="4" t="s">
        <v>123</v>
      </c>
      <c r="E7" s="4" t="s">
        <v>133</v>
      </c>
      <c r="F7" s="5" t="s">
        <v>296</v>
      </c>
      <c r="G7" s="5" t="s">
        <v>481</v>
      </c>
      <c r="H7" s="5" t="s">
        <v>286</v>
      </c>
      <c r="I7" s="5" t="s">
        <v>482</v>
      </c>
      <c r="J7" s="4" t="n">
        <v>3</v>
      </c>
      <c r="K7" s="4" t="n">
        <v>4</v>
      </c>
      <c r="L7" s="5"/>
    </row>
    <row r="8" customFormat="false" ht="23.85" hidden="false" customHeight="false" outlineLevel="0" collapsed="false">
      <c r="A8" s="5" t="s">
        <v>49</v>
      </c>
      <c r="B8" s="4" t="s">
        <v>483</v>
      </c>
      <c r="C8" s="5" t="s">
        <v>484</v>
      </c>
      <c r="D8" s="4" t="s">
        <v>123</v>
      </c>
      <c r="E8" s="4" t="s">
        <v>124</v>
      </c>
      <c r="F8" s="5" t="s">
        <v>296</v>
      </c>
      <c r="G8" s="5" t="s">
        <v>481</v>
      </c>
      <c r="H8" s="5" t="s">
        <v>299</v>
      </c>
      <c r="I8" s="5" t="s">
        <v>485</v>
      </c>
      <c r="J8" s="4" t="n">
        <v>2</v>
      </c>
      <c r="K8" s="4" t="n">
        <v>3</v>
      </c>
      <c r="L8" s="5"/>
    </row>
    <row r="9" customFormat="false" ht="23.85" hidden="false" customHeight="false" outlineLevel="0" collapsed="false">
      <c r="A9" s="5" t="s">
        <v>49</v>
      </c>
      <c r="B9" s="4" t="s">
        <v>486</v>
      </c>
      <c r="C9" s="5" t="s">
        <v>487</v>
      </c>
      <c r="D9" s="4" t="s">
        <v>148</v>
      </c>
      <c r="E9" s="4" t="s">
        <v>14</v>
      </c>
      <c r="F9" s="5" t="s">
        <v>296</v>
      </c>
      <c r="G9" s="5" t="s">
        <v>481</v>
      </c>
      <c r="H9" s="5" t="s">
        <v>488</v>
      </c>
      <c r="I9" s="5" t="s">
        <v>489</v>
      </c>
      <c r="J9" s="4" t="n">
        <v>3</v>
      </c>
      <c r="K9" s="4" t="n">
        <v>4</v>
      </c>
      <c r="L9" s="5"/>
    </row>
    <row r="10" customFormat="false" ht="23.85" hidden="false" customHeight="false" outlineLevel="0" collapsed="false">
      <c r="A10" s="5" t="s">
        <v>49</v>
      </c>
      <c r="B10" s="4" t="s">
        <v>490</v>
      </c>
      <c r="C10" s="5" t="s">
        <v>491</v>
      </c>
      <c r="D10" s="4" t="s">
        <v>123</v>
      </c>
      <c r="E10" s="4" t="s">
        <v>133</v>
      </c>
      <c r="F10" s="5" t="s">
        <v>21</v>
      </c>
      <c r="G10" s="5" t="s">
        <v>21</v>
      </c>
      <c r="H10" s="5" t="s">
        <v>317</v>
      </c>
      <c r="I10" s="5" t="s">
        <v>492</v>
      </c>
      <c r="J10" s="4" t="n">
        <v>5</v>
      </c>
      <c r="K10" s="4" t="n">
        <v>4</v>
      </c>
      <c r="L10" s="5"/>
    </row>
    <row r="11" customFormat="false" ht="23.85" hidden="false" customHeight="false" outlineLevel="0" collapsed="false">
      <c r="A11" s="5" t="s">
        <v>49</v>
      </c>
      <c r="B11" s="4" t="s">
        <v>493</v>
      </c>
      <c r="C11" s="5" t="s">
        <v>494</v>
      </c>
      <c r="D11" s="4" t="s">
        <v>123</v>
      </c>
      <c r="E11" s="4" t="s">
        <v>133</v>
      </c>
      <c r="F11" s="5" t="s">
        <v>21</v>
      </c>
      <c r="G11" s="5" t="s">
        <v>21</v>
      </c>
      <c r="H11" s="5" t="s">
        <v>321</v>
      </c>
      <c r="I11" s="5" t="s">
        <v>495</v>
      </c>
      <c r="J11" s="4" t="n">
        <v>1</v>
      </c>
      <c r="K11" s="4" t="n">
        <v>3</v>
      </c>
      <c r="L11" s="5"/>
    </row>
    <row r="12" customFormat="false" ht="23.85" hidden="false" customHeight="false" outlineLevel="0" collapsed="false">
      <c r="A12" s="5" t="s">
        <v>49</v>
      </c>
      <c r="B12" s="4" t="s">
        <v>496</v>
      </c>
      <c r="C12" s="5" t="s">
        <v>497</v>
      </c>
      <c r="D12" s="4" t="s">
        <v>148</v>
      </c>
      <c r="E12" s="4" t="s">
        <v>14</v>
      </c>
      <c r="F12" s="5" t="s">
        <v>498</v>
      </c>
      <c r="G12" s="5" t="s">
        <v>25</v>
      </c>
      <c r="H12" s="5" t="s">
        <v>325</v>
      </c>
      <c r="I12" s="5" t="s">
        <v>499</v>
      </c>
      <c r="J12" s="4" t="n">
        <v>2</v>
      </c>
      <c r="K12" s="4" t="n">
        <v>3</v>
      </c>
      <c r="L12" s="5"/>
    </row>
    <row r="13" customFormat="false" ht="23.85" hidden="false" customHeight="false" outlineLevel="0" collapsed="false">
      <c r="A13" s="5" t="s">
        <v>49</v>
      </c>
      <c r="B13" s="4" t="s">
        <v>500</v>
      </c>
      <c r="C13" s="5" t="s">
        <v>501</v>
      </c>
      <c r="D13" s="4" t="s">
        <v>123</v>
      </c>
      <c r="E13" s="4" t="s">
        <v>133</v>
      </c>
      <c r="F13" s="5" t="s">
        <v>498</v>
      </c>
      <c r="G13" s="5" t="s">
        <v>25</v>
      </c>
      <c r="H13" s="5" t="s">
        <v>329</v>
      </c>
      <c r="I13" s="5" t="s">
        <v>502</v>
      </c>
      <c r="J13" s="4" t="n">
        <v>1</v>
      </c>
      <c r="K13" s="4" t="n">
        <v>2</v>
      </c>
      <c r="L13" s="5"/>
    </row>
    <row r="14" customFormat="false" ht="23.85" hidden="false" customHeight="false" outlineLevel="0" collapsed="false">
      <c r="A14" s="5" t="s">
        <v>92</v>
      </c>
      <c r="B14" s="4" t="s">
        <v>503</v>
      </c>
      <c r="C14" s="5" t="s">
        <v>472</v>
      </c>
      <c r="D14" s="4" t="s">
        <v>123</v>
      </c>
      <c r="E14" s="4" t="s">
        <v>124</v>
      </c>
      <c r="F14" s="5" t="s">
        <v>504</v>
      </c>
      <c r="G14" s="5" t="s">
        <v>473</v>
      </c>
      <c r="H14" s="5" t="s">
        <v>340</v>
      </c>
      <c r="I14" s="5" t="s">
        <v>505</v>
      </c>
      <c r="J14" s="4" t="n">
        <v>3</v>
      </c>
      <c r="K14" s="4" t="n">
        <v>4</v>
      </c>
      <c r="L14" s="5" t="s">
        <v>506</v>
      </c>
    </row>
    <row r="15" customFormat="false" ht="23.85" hidden="false" customHeight="false" outlineLevel="0" collapsed="false">
      <c r="A15" s="5" t="s">
        <v>92</v>
      </c>
      <c r="B15" s="4" t="s">
        <v>507</v>
      </c>
      <c r="C15" s="5" t="s">
        <v>480</v>
      </c>
      <c r="D15" s="4" t="s">
        <v>123</v>
      </c>
      <c r="E15" s="4" t="s">
        <v>133</v>
      </c>
      <c r="F15" s="5" t="s">
        <v>354</v>
      </c>
      <c r="G15" s="5" t="s">
        <v>481</v>
      </c>
      <c r="H15" s="5" t="s">
        <v>347</v>
      </c>
      <c r="I15" s="5" t="s">
        <v>508</v>
      </c>
      <c r="J15" s="4" t="n">
        <v>3</v>
      </c>
      <c r="K15" s="4" t="n">
        <v>4</v>
      </c>
      <c r="L15" s="5"/>
    </row>
    <row r="16" customFormat="false" ht="23.85" hidden="false" customHeight="false" outlineLevel="0" collapsed="false">
      <c r="A16" s="5" t="s">
        <v>92</v>
      </c>
      <c r="B16" s="4" t="s">
        <v>509</v>
      </c>
      <c r="C16" s="5" t="s">
        <v>484</v>
      </c>
      <c r="D16" s="4" t="s">
        <v>123</v>
      </c>
      <c r="E16" s="4" t="s">
        <v>124</v>
      </c>
      <c r="F16" s="5" t="s">
        <v>363</v>
      </c>
      <c r="G16" s="5" t="s">
        <v>481</v>
      </c>
      <c r="H16" s="5" t="s">
        <v>357</v>
      </c>
      <c r="I16" s="5" t="s">
        <v>510</v>
      </c>
      <c r="J16" s="4" t="n">
        <v>3</v>
      </c>
      <c r="K16" s="4" t="n">
        <v>5</v>
      </c>
      <c r="L16" s="5"/>
    </row>
    <row r="17" customFormat="false" ht="23.85" hidden="false" customHeight="false" outlineLevel="0" collapsed="false">
      <c r="A17" s="5" t="s">
        <v>92</v>
      </c>
      <c r="B17" s="4" t="s">
        <v>486</v>
      </c>
      <c r="C17" s="5" t="s">
        <v>487</v>
      </c>
      <c r="D17" s="4" t="s">
        <v>148</v>
      </c>
      <c r="E17" s="4" t="s">
        <v>14</v>
      </c>
      <c r="F17" s="5" t="s">
        <v>367</v>
      </c>
      <c r="G17" s="5" t="s">
        <v>473</v>
      </c>
      <c r="H17" s="5" t="s">
        <v>511</v>
      </c>
      <c r="I17" s="5" t="s">
        <v>512</v>
      </c>
      <c r="J17" s="4" t="n">
        <v>4</v>
      </c>
      <c r="K17" s="4" t="n">
        <v>3</v>
      </c>
      <c r="L17" s="5" t="s">
        <v>513</v>
      </c>
    </row>
    <row r="18" customFormat="false" ht="35.05" hidden="false" customHeight="false" outlineLevel="0" collapsed="false">
      <c r="A18" s="5" t="s">
        <v>92</v>
      </c>
      <c r="B18" s="4" t="s">
        <v>514</v>
      </c>
      <c r="C18" s="5" t="s">
        <v>515</v>
      </c>
      <c r="D18" s="4" t="s">
        <v>123</v>
      </c>
      <c r="E18" s="4" t="s">
        <v>124</v>
      </c>
      <c r="F18" s="5" t="s">
        <v>376</v>
      </c>
      <c r="G18" s="5" t="s">
        <v>18</v>
      </c>
      <c r="H18" s="5" t="s">
        <v>371</v>
      </c>
      <c r="I18" s="5" t="s">
        <v>516</v>
      </c>
      <c r="J18" s="4" t="n">
        <v>3</v>
      </c>
      <c r="K18" s="4" t="n">
        <v>3</v>
      </c>
      <c r="L18" s="5" t="s">
        <v>517</v>
      </c>
    </row>
    <row r="19" customFormat="false" ht="23.85" hidden="false" customHeight="false" outlineLevel="0" collapsed="false">
      <c r="A19" s="5" t="s">
        <v>92</v>
      </c>
      <c r="B19" s="4" t="s">
        <v>518</v>
      </c>
      <c r="C19" s="5" t="s">
        <v>491</v>
      </c>
      <c r="D19" s="4" t="s">
        <v>123</v>
      </c>
      <c r="E19" s="4" t="s">
        <v>133</v>
      </c>
      <c r="F19" s="5" t="s">
        <v>21</v>
      </c>
      <c r="G19" s="5" t="s">
        <v>21</v>
      </c>
      <c r="H19" s="5" t="s">
        <v>378</v>
      </c>
      <c r="I19" s="5" t="s">
        <v>519</v>
      </c>
      <c r="J19" s="4" t="n">
        <v>3</v>
      </c>
      <c r="K19" s="4" t="n">
        <v>4</v>
      </c>
      <c r="L19" s="5"/>
    </row>
    <row r="20" customFormat="false" ht="23.85" hidden="false" customHeight="false" outlineLevel="0" collapsed="false">
      <c r="A20" s="5" t="s">
        <v>92</v>
      </c>
      <c r="B20" s="4" t="s">
        <v>520</v>
      </c>
      <c r="C20" s="5" t="s">
        <v>494</v>
      </c>
      <c r="D20" s="4" t="s">
        <v>123</v>
      </c>
      <c r="E20" s="4" t="s">
        <v>133</v>
      </c>
      <c r="F20" s="5" t="s">
        <v>21</v>
      </c>
      <c r="G20" s="5" t="s">
        <v>21</v>
      </c>
      <c r="H20" s="5" t="s">
        <v>382</v>
      </c>
      <c r="I20" s="5" t="s">
        <v>521</v>
      </c>
      <c r="J20" s="4" t="n">
        <v>1</v>
      </c>
      <c r="K20" s="4" t="n">
        <v>3</v>
      </c>
      <c r="L20" s="5"/>
    </row>
    <row r="21" customFormat="false" ht="23.85" hidden="false" customHeight="false" outlineLevel="0" collapsed="false">
      <c r="A21" s="5" t="s">
        <v>92</v>
      </c>
      <c r="B21" s="4" t="s">
        <v>522</v>
      </c>
      <c r="C21" s="5" t="s">
        <v>523</v>
      </c>
      <c r="D21" s="4" t="s">
        <v>123</v>
      </c>
      <c r="E21" s="4" t="s">
        <v>133</v>
      </c>
      <c r="F21" s="5" t="s">
        <v>524</v>
      </c>
      <c r="G21" s="5" t="s">
        <v>23</v>
      </c>
      <c r="H21" s="5" t="s">
        <v>388</v>
      </c>
      <c r="I21" s="5" t="s">
        <v>525</v>
      </c>
      <c r="J21" s="4" t="n">
        <v>3</v>
      </c>
      <c r="K21" s="4" t="n">
        <v>2</v>
      </c>
      <c r="L21" s="5"/>
    </row>
    <row r="22" customFormat="false" ht="23.85" hidden="false" customHeight="false" outlineLevel="0" collapsed="false">
      <c r="A22" s="5" t="s">
        <v>92</v>
      </c>
      <c r="B22" s="4" t="s">
        <v>496</v>
      </c>
      <c r="C22" s="5" t="s">
        <v>497</v>
      </c>
      <c r="D22" s="4" t="s">
        <v>148</v>
      </c>
      <c r="E22" s="4" t="s">
        <v>14</v>
      </c>
      <c r="F22" s="5" t="s">
        <v>526</v>
      </c>
      <c r="G22" s="5" t="s">
        <v>25</v>
      </c>
      <c r="H22" s="5" t="s">
        <v>392</v>
      </c>
      <c r="I22" s="5" t="s">
        <v>527</v>
      </c>
      <c r="J22" s="4" t="n">
        <v>3</v>
      </c>
      <c r="K22" s="4" t="n">
        <v>3</v>
      </c>
      <c r="L22" s="5"/>
    </row>
    <row r="23" customFormat="false" ht="15" hidden="false" customHeight="false" outlineLevel="0" collapsed="false">
      <c r="A23" s="5" t="s">
        <v>92</v>
      </c>
      <c r="B23" s="4" t="s">
        <v>528</v>
      </c>
      <c r="C23" s="5" t="s">
        <v>501</v>
      </c>
      <c r="D23" s="4" t="s">
        <v>123</v>
      </c>
      <c r="E23" s="4" t="s">
        <v>133</v>
      </c>
      <c r="F23" s="5" t="s">
        <v>526</v>
      </c>
      <c r="G23" s="5" t="s">
        <v>25</v>
      </c>
      <c r="H23" s="5" t="s">
        <v>396</v>
      </c>
      <c r="I23" s="5" t="s">
        <v>529</v>
      </c>
      <c r="J23" s="4" t="n">
        <v>1</v>
      </c>
      <c r="K23" s="4" t="n">
        <v>2</v>
      </c>
      <c r="L23" s="5"/>
    </row>
    <row r="24" customFormat="false" ht="35.05" hidden="false" customHeight="false" outlineLevel="0" collapsed="false">
      <c r="A24" s="5" t="s">
        <v>530</v>
      </c>
      <c r="B24" s="4" t="s">
        <v>503</v>
      </c>
      <c r="C24" s="5" t="s">
        <v>472</v>
      </c>
      <c r="D24" s="4" t="s">
        <v>123</v>
      </c>
      <c r="E24" s="4" t="s">
        <v>124</v>
      </c>
      <c r="F24" s="5" t="s">
        <v>531</v>
      </c>
      <c r="G24" s="5" t="s">
        <v>473</v>
      </c>
      <c r="H24" s="5" t="s">
        <v>411</v>
      </c>
      <c r="I24" s="5" t="s">
        <v>532</v>
      </c>
      <c r="J24" s="4" t="n">
        <v>3</v>
      </c>
      <c r="K24" s="4" t="n">
        <v>3</v>
      </c>
      <c r="L24" s="5"/>
    </row>
    <row r="25" customFormat="false" ht="23.85" hidden="false" customHeight="false" outlineLevel="0" collapsed="false">
      <c r="A25" s="5" t="s">
        <v>530</v>
      </c>
      <c r="B25" s="4" t="s">
        <v>520</v>
      </c>
      <c r="C25" s="5" t="s">
        <v>480</v>
      </c>
      <c r="D25" s="4" t="s">
        <v>123</v>
      </c>
      <c r="E25" s="4" t="s">
        <v>133</v>
      </c>
      <c r="F25" s="5" t="s">
        <v>423</v>
      </c>
      <c r="G25" s="5" t="s">
        <v>481</v>
      </c>
      <c r="H25" s="5" t="s">
        <v>418</v>
      </c>
      <c r="I25" s="5" t="s">
        <v>533</v>
      </c>
      <c r="J25" s="4" t="n">
        <v>2</v>
      </c>
      <c r="K25" s="4" t="n">
        <v>5</v>
      </c>
      <c r="L25" s="5"/>
    </row>
    <row r="26" customFormat="false" ht="35.05" hidden="false" customHeight="false" outlineLevel="0" collapsed="false">
      <c r="A26" s="5" t="s">
        <v>530</v>
      </c>
      <c r="B26" s="4" t="s">
        <v>507</v>
      </c>
      <c r="C26" s="5" t="s">
        <v>534</v>
      </c>
      <c r="D26" s="4" t="s">
        <v>123</v>
      </c>
      <c r="E26" s="4" t="s">
        <v>156</v>
      </c>
      <c r="F26" s="5" t="s">
        <v>535</v>
      </c>
      <c r="G26" s="5" t="s">
        <v>18</v>
      </c>
      <c r="H26" s="5" t="s">
        <v>427</v>
      </c>
      <c r="I26" s="5" t="s">
        <v>536</v>
      </c>
      <c r="J26" s="4" t="n">
        <v>4</v>
      </c>
      <c r="K26" s="4" t="n">
        <v>5</v>
      </c>
      <c r="L26" s="5"/>
    </row>
    <row r="27" customFormat="false" ht="35.05" hidden="false" customHeight="false" outlineLevel="0" collapsed="false">
      <c r="A27" s="5" t="s">
        <v>530</v>
      </c>
      <c r="B27" s="4" t="s">
        <v>509</v>
      </c>
      <c r="C27" s="5" t="s">
        <v>515</v>
      </c>
      <c r="D27" s="4" t="s">
        <v>123</v>
      </c>
      <c r="E27" s="4" t="s">
        <v>124</v>
      </c>
      <c r="F27" s="5" t="s">
        <v>535</v>
      </c>
      <c r="G27" s="5" t="s">
        <v>18</v>
      </c>
      <c r="H27" s="5" t="s">
        <v>431</v>
      </c>
      <c r="I27" s="5" t="s">
        <v>537</v>
      </c>
      <c r="J27" s="4" t="n">
        <v>4</v>
      </c>
      <c r="K27" s="4" t="n">
        <v>3</v>
      </c>
      <c r="L27" s="5"/>
    </row>
    <row r="28" customFormat="false" ht="23.85" hidden="false" customHeight="false" outlineLevel="0" collapsed="false">
      <c r="A28" s="5" t="s">
        <v>530</v>
      </c>
      <c r="B28" s="4" t="s">
        <v>514</v>
      </c>
      <c r="C28" s="5" t="s">
        <v>491</v>
      </c>
      <c r="D28" s="4" t="s">
        <v>123</v>
      </c>
      <c r="E28" s="4" t="s">
        <v>133</v>
      </c>
      <c r="F28" s="5" t="s">
        <v>538</v>
      </c>
      <c r="G28" s="5" t="s">
        <v>21</v>
      </c>
      <c r="H28" s="5" t="s">
        <v>440</v>
      </c>
      <c r="I28" s="5" t="s">
        <v>539</v>
      </c>
      <c r="J28" s="4" t="n">
        <v>4</v>
      </c>
      <c r="K28" s="4" t="n">
        <v>4</v>
      </c>
      <c r="L28" s="5"/>
    </row>
    <row r="29" customFormat="false" ht="35.05" hidden="false" customHeight="false" outlineLevel="0" collapsed="false">
      <c r="A29" s="5" t="s">
        <v>530</v>
      </c>
      <c r="B29" s="4" t="s">
        <v>518</v>
      </c>
      <c r="C29" s="5" t="s">
        <v>494</v>
      </c>
      <c r="D29" s="4" t="s">
        <v>123</v>
      </c>
      <c r="E29" s="4" t="s">
        <v>133</v>
      </c>
      <c r="F29" s="5" t="s">
        <v>447</v>
      </c>
      <c r="G29" s="5" t="s">
        <v>21</v>
      </c>
      <c r="H29" s="5" t="s">
        <v>444</v>
      </c>
      <c r="I29" s="5" t="s">
        <v>540</v>
      </c>
      <c r="J29" s="4" t="n">
        <v>1</v>
      </c>
      <c r="K29" s="4" t="n">
        <v>3</v>
      </c>
      <c r="L29" s="5" t="s">
        <v>541</v>
      </c>
    </row>
    <row r="30" customFormat="false" ht="23.85" hidden="false" customHeight="false" outlineLevel="0" collapsed="false">
      <c r="A30" s="5" t="s">
        <v>530</v>
      </c>
      <c r="B30" s="4" t="s">
        <v>542</v>
      </c>
      <c r="C30" s="5" t="s">
        <v>497</v>
      </c>
      <c r="D30" s="4" t="s">
        <v>148</v>
      </c>
      <c r="E30" s="4" t="s">
        <v>14</v>
      </c>
      <c r="F30" s="5" t="s">
        <v>526</v>
      </c>
      <c r="G30" s="5" t="s">
        <v>25</v>
      </c>
      <c r="H30" s="5" t="s">
        <v>450</v>
      </c>
      <c r="I30" s="5" t="s">
        <v>543</v>
      </c>
      <c r="J30" s="4" t="n">
        <v>1</v>
      </c>
      <c r="K30" s="4" t="n">
        <v>3</v>
      </c>
      <c r="L30" s="5" t="s">
        <v>544</v>
      </c>
    </row>
  </sheetData>
  <autoFilter ref="A4:L30"/>
  <conditionalFormatting sqref="L5:L30">
    <cfRule type="expression" priority="2" aboveAverage="0" equalAverage="0" bottom="0" percent="0" rank="0" text="" dxfId="9">
      <formula>LEN($L5)&gt;0</formula>
    </cfRule>
  </conditionalFormatting>
  <conditionalFormatting sqref="A5:K30">
    <cfRule type="expression" priority="3" aboveAverage="0" equalAverage="0" bottom="0" percent="0" rank="0" text="" dxfId="7">
      <formula>$D5="Oportunidad"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9"/>
    <col collapsed="false" customWidth="true" hidden="false" outlineLevel="0" max="3" min="3" style="0" width="30"/>
    <col collapsed="false" customWidth="true" hidden="false" outlineLevel="0" max="4" min="4" style="0" width="44"/>
    <col collapsed="false" customWidth="true" hidden="false" outlineLevel="0" max="5" min="5" style="0" width="48"/>
    <col collapsed="false" customWidth="true" hidden="false" outlineLevel="0" max="6" min="6" style="0" width="28"/>
    <col collapsed="false" customWidth="true" hidden="false" outlineLevel="0" max="7" min="7" style="0" width="40"/>
    <col collapsed="false" customWidth="true" hidden="false" outlineLevel="0" max="9" min="8" style="0" width="12"/>
    <col collapsed="false" customWidth="true" hidden="false" outlineLevel="0" max="10" min="10" style="0" width="44"/>
    <col collapsed="false" customWidth="true" hidden="false" outlineLevel="0" max="11" min="11" style="0" width="30"/>
    <col collapsed="false" customWidth="true" hidden="false" outlineLevel="0" max="12" min="12" style="0" width="52"/>
  </cols>
  <sheetData>
    <row r="1" customFormat="false" ht="17.35" hidden="false" customHeight="false" outlineLevel="0" collapsed="false">
      <c r="A1" s="1" t="s">
        <v>545</v>
      </c>
    </row>
    <row r="2" customFormat="false" ht="15" hidden="false" customHeight="false" outlineLevel="0" collapsed="false">
      <c r="A2" s="2" t="s">
        <v>546</v>
      </c>
    </row>
    <row r="4" customFormat="false" ht="15" hidden="false" customHeight="false" outlineLevel="0" collapsed="false">
      <c r="A4" s="3" t="s">
        <v>465</v>
      </c>
      <c r="B4" s="3" t="s">
        <v>202</v>
      </c>
      <c r="C4" s="3" t="s">
        <v>110</v>
      </c>
      <c r="D4" s="3" t="s">
        <v>547</v>
      </c>
      <c r="E4" s="3" t="s">
        <v>548</v>
      </c>
      <c r="F4" s="3" t="s">
        <v>549</v>
      </c>
      <c r="G4" s="3" t="s">
        <v>550</v>
      </c>
      <c r="H4" s="3" t="s">
        <v>551</v>
      </c>
      <c r="I4" s="3" t="s">
        <v>552</v>
      </c>
      <c r="J4" s="3" t="s">
        <v>553</v>
      </c>
      <c r="K4" s="3" t="s">
        <v>554</v>
      </c>
      <c r="L4" s="3" t="s">
        <v>470</v>
      </c>
    </row>
    <row r="5" customFormat="false" ht="23.85" hidden="false" customHeight="false" outlineLevel="0" collapsed="false">
      <c r="A5" s="5" t="s">
        <v>49</v>
      </c>
      <c r="B5" s="4" t="s">
        <v>128</v>
      </c>
      <c r="C5" s="5" t="s">
        <v>211</v>
      </c>
      <c r="D5" s="5" t="s">
        <v>555</v>
      </c>
      <c r="E5" s="5" t="s">
        <v>556</v>
      </c>
      <c r="F5" s="5" t="s">
        <v>58</v>
      </c>
      <c r="G5" s="5" t="s">
        <v>557</v>
      </c>
      <c r="H5" s="28" t="n">
        <f aca="false">MIN(IF(COUNTIFS('Interv. negocio y software'!$A$5:$A$36,$A5,'Interv. negocio y software'!$E$5:$E$36,$B5)&gt;0,_xlfn.MINIFS('Interv. negocio y software'!$H$5:$H$36,'Interv. negocio y software'!$A$5:$A$36,$A5,'Interv. negocio y software'!$E$5:$E$36,$B5),2958465),IF(COUNTIFS('Interv. agentes'!$A$5:$A$18,$A5,'Interv. agentes'!$D$5:$D$18,$B5)&gt;0,_xlfn.MINIFS('Interv. agentes'!$P$5:$P$18,'Interv. agentes'!$A$5:$A$18,$A5,'Interv. agentes'!$D$5:$D$18,$B5),2958465))</f>
        <v>46419</v>
      </c>
      <c r="I5" s="28" t="n">
        <f aca="false">MAX(_xlfn.MAXIFS('Interv. negocio y software'!$I$5:$I$36,'Interv. negocio y software'!$A$5:$A$36,$A5,'Interv. negocio y software'!$E$5:$E$36,$B5),_xlfn.MAXIFS('Interv. agentes'!$Q$5:$Q$18,'Interv. agentes'!$A$5:$A$18,$A5,'Interv. agentes'!$D$5:$D$18,$B5))</f>
        <v>46843</v>
      </c>
      <c r="J5" s="5" t="s">
        <v>558</v>
      </c>
      <c r="K5" s="5" t="s">
        <v>559</v>
      </c>
      <c r="L5" s="5" t="s">
        <v>560</v>
      </c>
    </row>
    <row r="6" customFormat="false" ht="35.05" hidden="false" customHeight="false" outlineLevel="0" collapsed="false">
      <c r="A6" s="5" t="s">
        <v>49</v>
      </c>
      <c r="B6" s="4" t="s">
        <v>137</v>
      </c>
      <c r="C6" s="5" t="s">
        <v>216</v>
      </c>
      <c r="D6" s="5" t="s">
        <v>561</v>
      </c>
      <c r="E6" s="5" t="s">
        <v>562</v>
      </c>
      <c r="F6" s="5" t="s">
        <v>44</v>
      </c>
      <c r="G6" s="5" t="s">
        <v>563</v>
      </c>
      <c r="H6" s="28" t="n">
        <f aca="false">MIN(IF(COUNTIFS('Interv. negocio y software'!$A$5:$A$36,$A6,'Interv. negocio y software'!$E$5:$E$36,$B6)&gt;0,_xlfn.MINIFS('Interv. negocio y software'!$H$5:$H$36,'Interv. negocio y software'!$A$5:$A$36,$A6,'Interv. negocio y software'!$E$5:$E$36,$B6),2958465),IF(COUNTIFS('Interv. agentes'!$A$5:$A$18,$A6,'Interv. agentes'!$D$5:$D$18,$B6)&gt;0,_xlfn.MINIFS('Interv. agentes'!$P$5:$P$18,'Interv. agentes'!$A$5:$A$18,$A6,'Interv. agentes'!$D$5:$D$18,$B6),2958465))</f>
        <v>46510</v>
      </c>
      <c r="I6" s="28" t="n">
        <f aca="false">MAX(_xlfn.MAXIFS('Interv. negocio y software'!$I$5:$I$36,'Interv. negocio y software'!$A$5:$A$36,$A6,'Interv. negocio y software'!$E$5:$E$36,$B6),_xlfn.MAXIFS('Interv. agentes'!$Q$5:$Q$18,'Interv. agentes'!$A$5:$A$18,$A6,'Interv. agentes'!$D$5:$D$18,$B6))</f>
        <v>46843</v>
      </c>
      <c r="J6" s="5" t="s">
        <v>564</v>
      </c>
      <c r="K6" s="5" t="s">
        <v>559</v>
      </c>
      <c r="L6" s="5" t="s">
        <v>565</v>
      </c>
    </row>
    <row r="7" customFormat="false" ht="15" hidden="false" customHeight="false" outlineLevel="0" collapsed="false">
      <c r="A7" s="5" t="s">
        <v>49</v>
      </c>
      <c r="B7" s="4" t="s">
        <v>144</v>
      </c>
      <c r="C7" s="5" t="s">
        <v>220</v>
      </c>
      <c r="D7" s="5" t="s">
        <v>566</v>
      </c>
      <c r="E7" s="5" t="s">
        <v>567</v>
      </c>
      <c r="F7" s="5" t="s">
        <v>63</v>
      </c>
      <c r="G7" s="5" t="s">
        <v>568</v>
      </c>
      <c r="H7" s="28" t="n">
        <f aca="false">MIN(IF(COUNTIFS('Interv. negocio y software'!$A$5:$A$36,$A7,'Interv. negocio y software'!$E$5:$E$36,$B7)&gt;0,_xlfn.MINIFS('Interv. negocio y software'!$H$5:$H$36,'Interv. negocio y software'!$A$5:$A$36,$A7,'Interv. negocio y software'!$E$5:$E$36,$B7),2958465),IF(COUNTIFS('Interv. agentes'!$A$5:$A$18,$A7,'Interv. agentes'!$D$5:$D$18,$B7)&gt;0,_xlfn.MINIFS('Interv. agentes'!$P$5:$P$18,'Interv. agentes'!$A$5:$A$18,$A7,'Interv. agentes'!$D$5:$D$18,$B7),2958465))</f>
        <v>46447</v>
      </c>
      <c r="I7" s="28" t="n">
        <f aca="false">MAX(_xlfn.MAXIFS('Interv. negocio y software'!$I$5:$I$36,'Interv. negocio y software'!$A$5:$A$36,$A7,'Interv. negocio y software'!$E$5:$E$36,$B7),_xlfn.MAXIFS('Interv. agentes'!$Q$5:$Q$18,'Interv. agentes'!$A$5:$A$18,$A7,'Interv. agentes'!$D$5:$D$18,$B7))</f>
        <v>46721</v>
      </c>
      <c r="J7" s="5" t="s">
        <v>569</v>
      </c>
      <c r="K7" s="5" t="s">
        <v>559</v>
      </c>
      <c r="L7" s="5" t="s">
        <v>570</v>
      </c>
    </row>
    <row r="8" customFormat="false" ht="23.85" hidden="false" customHeight="false" outlineLevel="0" collapsed="false">
      <c r="A8" s="5" t="s">
        <v>49</v>
      </c>
      <c r="B8" s="4" t="s">
        <v>225</v>
      </c>
      <c r="C8" s="5" t="s">
        <v>226</v>
      </c>
      <c r="D8" s="5" t="s">
        <v>571</v>
      </c>
      <c r="E8" s="5" t="s">
        <v>572</v>
      </c>
      <c r="F8" s="5" t="s">
        <v>58</v>
      </c>
      <c r="G8" s="5" t="s">
        <v>557</v>
      </c>
      <c r="H8" s="28" t="n">
        <f aca="false">MIN(IF(COUNTIFS('Interv. negocio y software'!$A$5:$A$36,$A8,'Interv. negocio y software'!$E$5:$E$36,$B8)&gt;0,_xlfn.MINIFS('Interv. negocio y software'!$H$5:$H$36,'Interv. negocio y software'!$A$5:$A$36,$A8,'Interv. negocio y software'!$E$5:$E$36,$B8),2958465),IF(COUNTIFS('Interv. agentes'!$A$5:$A$18,$A8,'Interv. agentes'!$D$5:$D$18,$B8)&gt;0,_xlfn.MINIFS('Interv. agentes'!$P$5:$P$18,'Interv. agentes'!$A$5:$A$18,$A8,'Interv. agentes'!$D$5:$D$18,$B8),2958465))</f>
        <v>46447</v>
      </c>
      <c r="I8" s="28" t="n">
        <f aca="false">MAX(_xlfn.MAXIFS('Interv. negocio y software'!$I$5:$I$36,'Interv. negocio y software'!$A$5:$A$36,$A8,'Interv. negocio y software'!$E$5:$E$36,$B8),_xlfn.MAXIFS('Interv. agentes'!$Q$5:$Q$18,'Interv. agentes'!$A$5:$A$18,$A8,'Interv. agentes'!$D$5:$D$18,$B8))</f>
        <v>46812</v>
      </c>
      <c r="J8" s="5" t="s">
        <v>573</v>
      </c>
      <c r="K8" s="5" t="s">
        <v>559</v>
      </c>
      <c r="L8" s="5" t="s">
        <v>574</v>
      </c>
    </row>
    <row r="9" customFormat="false" ht="23.85" hidden="false" customHeight="false" outlineLevel="0" collapsed="false">
      <c r="A9" s="5" t="s">
        <v>49</v>
      </c>
      <c r="B9" s="4" t="s">
        <v>173</v>
      </c>
      <c r="C9" s="5" t="s">
        <v>236</v>
      </c>
      <c r="D9" s="5" t="s">
        <v>575</v>
      </c>
      <c r="E9" s="5" t="s">
        <v>576</v>
      </c>
      <c r="F9" s="5" t="s">
        <v>44</v>
      </c>
      <c r="G9" s="5" t="s">
        <v>577</v>
      </c>
      <c r="H9" s="28" t="n">
        <f aca="false">MIN(IF(COUNTIFS('Interv. negocio y software'!$A$5:$A$36,$A9,'Interv. negocio y software'!$E$5:$E$36,$B9)&gt;0,_xlfn.MINIFS('Interv. negocio y software'!$H$5:$H$36,'Interv. negocio y software'!$A$5:$A$36,$A9,'Interv. negocio y software'!$E$5:$E$36,$B9),2958465),IF(COUNTIFS('Interv. agentes'!$A$5:$A$18,$A9,'Interv. agentes'!$D$5:$D$18,$B9)&gt;0,_xlfn.MINIFS('Interv. agentes'!$P$5:$P$18,'Interv. agentes'!$A$5:$A$18,$A9,'Interv. agentes'!$D$5:$D$18,$B9),2958465))</f>
        <v>46844</v>
      </c>
      <c r="I9" s="28" t="n">
        <f aca="false">MAX(_xlfn.MAXIFS('Interv. negocio y software'!$I$5:$I$36,'Interv. negocio y software'!$A$5:$A$36,$A9,'Interv. negocio y software'!$E$5:$E$36,$B9),_xlfn.MAXIFS('Interv. agentes'!$Q$5:$Q$18,'Interv. agentes'!$A$5:$A$18,$A9,'Interv. agentes'!$D$5:$D$18,$B9))</f>
        <v>46934</v>
      </c>
      <c r="J9" s="5" t="s">
        <v>578</v>
      </c>
      <c r="K9" s="5" t="s">
        <v>559</v>
      </c>
      <c r="L9" s="5" t="s">
        <v>579</v>
      </c>
    </row>
    <row r="10" customFormat="false" ht="23.85" hidden="false" customHeight="false" outlineLevel="0" collapsed="false">
      <c r="A10" s="5" t="s">
        <v>49</v>
      </c>
      <c r="B10" s="4" t="s">
        <v>192</v>
      </c>
      <c r="C10" s="5" t="s">
        <v>245</v>
      </c>
      <c r="D10" s="5" t="s">
        <v>580</v>
      </c>
      <c r="E10" s="5" t="s">
        <v>581</v>
      </c>
      <c r="F10" s="5" t="s">
        <v>44</v>
      </c>
      <c r="G10" s="5" t="s">
        <v>58</v>
      </c>
      <c r="H10" s="28" t="n">
        <f aca="false">MIN(IF(COUNTIFS('Interv. negocio y software'!$A$5:$A$36,$A10,'Interv. negocio y software'!$E$5:$E$36,$B10)&gt;0,_xlfn.MINIFS('Interv. negocio y software'!$H$5:$H$36,'Interv. negocio y software'!$A$5:$A$36,$A10,'Interv. negocio y software'!$E$5:$E$36,$B10),2958465),IF(COUNTIFS('Interv. agentes'!$A$5:$A$18,$A10,'Interv. agentes'!$D$5:$D$18,$B10)&gt;0,_xlfn.MINIFS('Interv. agentes'!$P$5:$P$18,'Interv. agentes'!$A$5:$A$18,$A10,'Interv. agentes'!$D$5:$D$18,$B10),2958465))</f>
        <v>46478</v>
      </c>
      <c r="I10" s="28" t="n">
        <f aca="false">MAX(_xlfn.MAXIFS('Interv. negocio y software'!$I$5:$I$36,'Interv. negocio y software'!$A$5:$A$36,$A10,'Interv. negocio y software'!$E$5:$E$36,$B10),_xlfn.MAXIFS('Interv. agentes'!$Q$5:$Q$18,'Interv. agentes'!$A$5:$A$18,$A10,'Interv. agentes'!$D$5:$D$18,$B10))</f>
        <v>46568</v>
      </c>
      <c r="J10" s="5" t="s">
        <v>582</v>
      </c>
      <c r="K10" s="5" t="s">
        <v>559</v>
      </c>
      <c r="L10" s="5"/>
    </row>
    <row r="11" customFormat="false" ht="23.85" hidden="false" customHeight="false" outlineLevel="0" collapsed="false">
      <c r="A11" s="5" t="s">
        <v>92</v>
      </c>
      <c r="B11" s="4" t="s">
        <v>128</v>
      </c>
      <c r="C11" s="5" t="s">
        <v>211</v>
      </c>
      <c r="D11" s="5" t="s">
        <v>583</v>
      </c>
      <c r="E11" s="5" t="s">
        <v>567</v>
      </c>
      <c r="F11" s="5" t="s">
        <v>96</v>
      </c>
      <c r="G11" s="5" t="s">
        <v>584</v>
      </c>
      <c r="H11" s="28" t="n">
        <f aca="false">MIN(IF(COUNTIFS('Interv. negocio y software'!$A$5:$A$36,$A11,'Interv. negocio y software'!$E$5:$E$36,$B11)&gt;0,_xlfn.MINIFS('Interv. negocio y software'!$H$5:$H$36,'Interv. negocio y software'!$A$5:$A$36,$A11,'Interv. negocio y software'!$E$5:$E$36,$B11),2958465),IF(COUNTIFS('Interv. agentes'!$A$5:$A$18,$A11,'Interv. agentes'!$D$5:$D$18,$B11)&gt;0,_xlfn.MINIFS('Interv. agentes'!$P$5:$P$18,'Interv. agentes'!$A$5:$A$18,$A11,'Interv. agentes'!$D$5:$D$18,$B11),2958465))</f>
        <v>46664</v>
      </c>
      <c r="I11" s="28" t="n">
        <f aca="false">MAX(_xlfn.MAXIFS('Interv. negocio y software'!$I$5:$I$36,'Interv. negocio y software'!$A$5:$A$36,$A11,'Interv. negocio y software'!$E$5:$E$36,$B11),_xlfn.MAXIFS('Interv. agentes'!$Q$5:$Q$18,'Interv. agentes'!$A$5:$A$18,$A11,'Interv. agentes'!$D$5:$D$18,$B11))</f>
        <v>46783</v>
      </c>
      <c r="J11" s="5" t="s">
        <v>585</v>
      </c>
      <c r="K11" s="5" t="s">
        <v>586</v>
      </c>
      <c r="L11" s="5"/>
    </row>
    <row r="12" customFormat="false" ht="23.85" hidden="false" customHeight="false" outlineLevel="0" collapsed="false">
      <c r="A12" s="5" t="s">
        <v>92</v>
      </c>
      <c r="B12" s="4" t="s">
        <v>137</v>
      </c>
      <c r="C12" s="5" t="s">
        <v>216</v>
      </c>
      <c r="D12" s="5" t="s">
        <v>587</v>
      </c>
      <c r="E12" s="5" t="s">
        <v>588</v>
      </c>
      <c r="F12" s="5" t="s">
        <v>90</v>
      </c>
      <c r="G12" s="5" t="s">
        <v>96</v>
      </c>
      <c r="H12" s="28" t="n">
        <f aca="false">MIN(IF(COUNTIFS('Interv. negocio y software'!$A$5:$A$36,$A12,'Interv. negocio y software'!$E$5:$E$36,$B12)&gt;0,_xlfn.MINIFS('Interv. negocio y software'!$H$5:$H$36,'Interv. negocio y software'!$A$5:$A$36,$A12,'Interv. negocio y software'!$E$5:$E$36,$B12),2958465),IF(COUNTIFS('Interv. agentes'!$A$5:$A$18,$A12,'Interv. agentes'!$D$5:$D$18,$B12)&gt;0,_xlfn.MINIFS('Interv. agentes'!$P$5:$P$18,'Interv. agentes'!$A$5:$A$18,$A12,'Interv. agentes'!$D$5:$D$18,$B12),2958465))</f>
        <v>46664</v>
      </c>
      <c r="I12" s="28" t="n">
        <f aca="false">MAX(_xlfn.MAXIFS('Interv. negocio y software'!$I$5:$I$36,'Interv. negocio y software'!$A$5:$A$36,$A12,'Interv. negocio y software'!$E$5:$E$36,$B12),_xlfn.MAXIFS('Interv. agentes'!$Q$5:$Q$18,'Interv. agentes'!$A$5:$A$18,$A12,'Interv. agentes'!$D$5:$D$18,$B12))</f>
        <v>47109</v>
      </c>
      <c r="J12" s="5" t="s">
        <v>589</v>
      </c>
      <c r="K12" s="5" t="s">
        <v>586</v>
      </c>
      <c r="L12" s="5" t="s">
        <v>590</v>
      </c>
    </row>
    <row r="13" customFormat="false" ht="23.85" hidden="false" customHeight="false" outlineLevel="0" collapsed="false">
      <c r="A13" s="5" t="s">
        <v>92</v>
      </c>
      <c r="B13" s="4" t="s">
        <v>144</v>
      </c>
      <c r="C13" s="5" t="s">
        <v>220</v>
      </c>
      <c r="D13" s="5" t="s">
        <v>591</v>
      </c>
      <c r="E13" s="5" t="s">
        <v>592</v>
      </c>
      <c r="F13" s="5" t="s">
        <v>90</v>
      </c>
      <c r="G13" s="5" t="s">
        <v>593</v>
      </c>
      <c r="H13" s="28" t="n">
        <f aca="false">MIN(IF(COUNTIFS('Interv. negocio y software'!$A$5:$A$36,$A13,'Interv. negocio y software'!$E$5:$E$36,$B13)&gt;0,_xlfn.MINIFS('Interv. negocio y software'!$H$5:$H$36,'Interv. negocio y software'!$A$5:$A$36,$A13,'Interv. negocio y software'!$E$5:$E$36,$B13),2958465),IF(COUNTIFS('Interv. agentes'!$A$5:$A$18,$A13,'Interv. agentes'!$D$5:$D$18,$B13)&gt;0,_xlfn.MINIFS('Interv. agentes'!$P$5:$P$18,'Interv. agentes'!$A$5:$A$18,$A13,'Interv. agentes'!$D$5:$D$18,$B13),2958465))</f>
        <v>46664</v>
      </c>
      <c r="I13" s="28" t="n">
        <f aca="false">MAX(_xlfn.MAXIFS('Interv. negocio y software'!$I$5:$I$36,'Interv. negocio y software'!$A$5:$A$36,$A13,'Interv. negocio y software'!$E$5:$E$36,$B13),_xlfn.MAXIFS('Interv. agentes'!$Q$5:$Q$18,'Interv. agentes'!$A$5:$A$18,$A13,'Interv. agentes'!$D$5:$D$18,$B13))</f>
        <v>47109</v>
      </c>
      <c r="J13" s="5" t="s">
        <v>594</v>
      </c>
      <c r="K13" s="5" t="s">
        <v>586</v>
      </c>
      <c r="L13" s="5" t="s">
        <v>595</v>
      </c>
    </row>
    <row r="14" customFormat="false" ht="23.85" hidden="false" customHeight="false" outlineLevel="0" collapsed="false">
      <c r="A14" s="5" t="s">
        <v>92</v>
      </c>
      <c r="B14" s="4" t="s">
        <v>225</v>
      </c>
      <c r="C14" s="5" t="s">
        <v>226</v>
      </c>
      <c r="D14" s="5" t="s">
        <v>571</v>
      </c>
      <c r="E14" s="5" t="s">
        <v>596</v>
      </c>
      <c r="F14" s="5" t="s">
        <v>96</v>
      </c>
      <c r="G14" s="5" t="s">
        <v>90</v>
      </c>
      <c r="H14" s="28" t="n">
        <f aca="false">MIN(IF(COUNTIFS('Interv. negocio y software'!$A$5:$A$36,$A14,'Interv. negocio y software'!$E$5:$E$36,$B14)&gt;0,_xlfn.MINIFS('Interv. negocio y software'!$H$5:$H$36,'Interv. negocio y software'!$A$5:$A$36,$A14,'Interv. negocio y software'!$E$5:$E$36,$B14),2958465),IF(COUNTIFS('Interv. agentes'!$A$5:$A$18,$A14,'Interv. agentes'!$D$5:$D$18,$B14)&gt;0,_xlfn.MINIFS('Interv. agentes'!$P$5:$P$18,'Interv. agentes'!$A$5:$A$18,$A14,'Interv. agentes'!$D$5:$D$18,$B14),2958465))</f>
        <v>46905</v>
      </c>
      <c r="I14" s="28" t="n">
        <f aca="false">MAX(_xlfn.MAXIFS('Interv. negocio y software'!$I$5:$I$36,'Interv. negocio y software'!$A$5:$A$36,$A14,'Interv. negocio y software'!$E$5:$E$36,$B14),_xlfn.MAXIFS('Interv. agentes'!$Q$5:$Q$18,'Interv. agentes'!$A$5:$A$18,$A14,'Interv. agentes'!$D$5:$D$18,$B14))</f>
        <v>47025</v>
      </c>
      <c r="J14" s="5" t="s">
        <v>597</v>
      </c>
      <c r="K14" s="5" t="s">
        <v>586</v>
      </c>
      <c r="L14" s="5" t="s">
        <v>598</v>
      </c>
    </row>
    <row r="15" customFormat="false" ht="23.85" hidden="false" customHeight="false" outlineLevel="0" collapsed="false">
      <c r="A15" s="5" t="s">
        <v>92</v>
      </c>
      <c r="B15" s="4" t="s">
        <v>160</v>
      </c>
      <c r="C15" s="5" t="s">
        <v>231</v>
      </c>
      <c r="D15" s="5" t="s">
        <v>599</v>
      </c>
      <c r="E15" s="5" t="s">
        <v>600</v>
      </c>
      <c r="F15" s="5" t="s">
        <v>94</v>
      </c>
      <c r="G15" s="5" t="s">
        <v>601</v>
      </c>
      <c r="H15" s="28" t="n">
        <f aca="false">MIN(IF(COUNTIFS('Interv. negocio y software'!$A$5:$A$36,$A15,'Interv. negocio y software'!$E$5:$E$36,$B15)&gt;0,_xlfn.MINIFS('Interv. negocio y software'!$H$5:$H$36,'Interv. negocio y software'!$A$5:$A$36,$A15,'Interv. negocio y software'!$E$5:$E$36,$B15),2958465),IF(COUNTIFS('Interv. agentes'!$A$5:$A$18,$A15,'Interv. agentes'!$D$5:$D$18,$B15)&gt;0,_xlfn.MINIFS('Interv. agentes'!$P$5:$P$18,'Interv. agentes'!$A$5:$A$18,$A15,'Interv. agentes'!$D$5:$D$18,$B15),2958465))</f>
        <v>46722</v>
      </c>
      <c r="I15" s="28" t="n">
        <f aca="false">MAX(_xlfn.MAXIFS('Interv. negocio y software'!$I$5:$I$36,'Interv. negocio y software'!$A$5:$A$36,$A15,'Interv. negocio y software'!$E$5:$E$36,$B15),_xlfn.MAXIFS('Interv. agentes'!$Q$5:$Q$18,'Interv. agentes'!$A$5:$A$18,$A15,'Interv. agentes'!$D$5:$D$18,$B15))</f>
        <v>47109</v>
      </c>
      <c r="J15" s="5" t="s">
        <v>602</v>
      </c>
      <c r="K15" s="5" t="s">
        <v>586</v>
      </c>
      <c r="L15" s="5" t="s">
        <v>603</v>
      </c>
    </row>
    <row r="16" customFormat="false" ht="23.85" hidden="false" customHeight="false" outlineLevel="0" collapsed="false">
      <c r="A16" s="5" t="s">
        <v>92</v>
      </c>
      <c r="B16" s="4" t="s">
        <v>173</v>
      </c>
      <c r="C16" s="5" t="s">
        <v>236</v>
      </c>
      <c r="D16" s="5" t="s">
        <v>604</v>
      </c>
      <c r="E16" s="5" t="s">
        <v>605</v>
      </c>
      <c r="F16" s="5" t="s">
        <v>90</v>
      </c>
      <c r="G16" s="5" t="s">
        <v>606</v>
      </c>
      <c r="H16" s="28" t="n">
        <f aca="false">MIN(IF(COUNTIFS('Interv. negocio y software'!$A$5:$A$36,$A16,'Interv. negocio y software'!$E$5:$E$36,$B16)&gt;0,_xlfn.MINIFS('Interv. negocio y software'!$H$5:$H$36,'Interv. negocio y software'!$A$5:$A$36,$A16,'Interv. negocio y software'!$E$5:$E$36,$B16),2958465),IF(COUNTIFS('Interv. agentes'!$A$5:$A$18,$A16,'Interv. agentes'!$D$5:$D$18,$B16)&gt;0,_xlfn.MINIFS('Interv. agentes'!$P$5:$P$18,'Interv. agentes'!$A$5:$A$18,$A16,'Interv. agentes'!$D$5:$D$18,$B16),2958465))</f>
        <v>46693</v>
      </c>
      <c r="I16" s="28" t="n">
        <f aca="false">MAX(_xlfn.MAXIFS('Interv. negocio y software'!$I$5:$I$36,'Interv. negocio y software'!$A$5:$A$36,$A16,'Interv. negocio y software'!$E$5:$E$36,$B16),_xlfn.MAXIFS('Interv. agentes'!$Q$5:$Q$18,'Interv. agentes'!$A$5:$A$18,$A16,'Interv. agentes'!$D$5:$D$18,$B16))</f>
        <v>47109</v>
      </c>
      <c r="J16" s="5" t="s">
        <v>607</v>
      </c>
      <c r="K16" s="5" t="s">
        <v>586</v>
      </c>
      <c r="L16" s="5" t="s">
        <v>608</v>
      </c>
    </row>
    <row r="17" customFormat="false" ht="23.85" hidden="false" customHeight="false" outlineLevel="0" collapsed="false">
      <c r="A17" s="5" t="s">
        <v>92</v>
      </c>
      <c r="B17" s="4" t="s">
        <v>186</v>
      </c>
      <c r="C17" s="5" t="s">
        <v>241</v>
      </c>
      <c r="D17" s="5" t="s">
        <v>609</v>
      </c>
      <c r="E17" s="5" t="s">
        <v>610</v>
      </c>
      <c r="F17" s="5" t="s">
        <v>90</v>
      </c>
      <c r="G17" s="5" t="s">
        <v>611</v>
      </c>
      <c r="H17" s="28" t="n">
        <f aca="false">MIN(IF(COUNTIFS('Interv. negocio y software'!$A$5:$A$36,$A17,'Interv. negocio y software'!$E$5:$E$36,$B17)&gt;0,_xlfn.MINIFS('Interv. negocio y software'!$H$5:$H$36,'Interv. negocio y software'!$A$5:$A$36,$A17,'Interv. negocio y software'!$E$5:$E$36,$B17),2958465),IF(COUNTIFS('Interv. agentes'!$A$5:$A$18,$A17,'Interv. agentes'!$D$5:$D$18,$B17)&gt;0,_xlfn.MINIFS('Interv. agentes'!$P$5:$P$18,'Interv. agentes'!$A$5:$A$18,$A17,'Interv. agentes'!$D$5:$D$18,$B17),2958465))</f>
        <v>46755</v>
      </c>
      <c r="I17" s="28" t="n">
        <f aca="false">MAX(_xlfn.MAXIFS('Interv. negocio y software'!$I$5:$I$36,'Interv. negocio y software'!$A$5:$A$36,$A17,'Interv. negocio y software'!$E$5:$E$36,$B17),_xlfn.MAXIFS('Interv. agentes'!$Q$5:$Q$18,'Interv. agentes'!$A$5:$A$18,$A17,'Interv. agentes'!$D$5:$D$18,$B17))</f>
        <v>46871</v>
      </c>
      <c r="J17" s="5" t="s">
        <v>612</v>
      </c>
      <c r="K17" s="5" t="s">
        <v>586</v>
      </c>
      <c r="L17" s="5" t="s">
        <v>613</v>
      </c>
    </row>
    <row r="18" customFormat="false" ht="23.85" hidden="false" customHeight="false" outlineLevel="0" collapsed="false">
      <c r="A18" s="5" t="s">
        <v>92</v>
      </c>
      <c r="B18" s="4" t="s">
        <v>192</v>
      </c>
      <c r="C18" s="5" t="s">
        <v>245</v>
      </c>
      <c r="D18" s="5" t="s">
        <v>614</v>
      </c>
      <c r="E18" s="5" t="s">
        <v>615</v>
      </c>
      <c r="F18" s="5" t="s">
        <v>96</v>
      </c>
      <c r="G18" s="5" t="s">
        <v>584</v>
      </c>
      <c r="H18" s="28" t="n">
        <f aca="false">MIN(IF(COUNTIFS('Interv. negocio y software'!$A$5:$A$36,$A18,'Interv. negocio y software'!$E$5:$E$36,$B18)&gt;0,_xlfn.MINIFS('Interv. negocio y software'!$H$5:$H$36,'Interv. negocio y software'!$A$5:$A$36,$A18,'Interv. negocio y software'!$E$5:$E$36,$B18),2958465),IF(COUNTIFS('Interv. agentes'!$A$5:$A$18,$A18,'Interv. agentes'!$D$5:$D$18,$B18)&gt;0,_xlfn.MINIFS('Interv. agentes'!$P$5:$P$18,'Interv. agentes'!$A$5:$A$18,$A18,'Interv. agentes'!$D$5:$D$18,$B18),2958465))</f>
        <v>46664</v>
      </c>
      <c r="I18" s="28" t="n">
        <f aca="false">MAX(_xlfn.MAXIFS('Interv. negocio y software'!$I$5:$I$36,'Interv. negocio y software'!$A$5:$A$36,$A18,'Interv. negocio y software'!$E$5:$E$36,$B18),_xlfn.MAXIFS('Interv. agentes'!$Q$5:$Q$18,'Interv. agentes'!$A$5:$A$18,$A18,'Interv. agentes'!$D$5:$D$18,$B18))</f>
        <v>47109</v>
      </c>
      <c r="J18" s="5" t="s">
        <v>616</v>
      </c>
      <c r="K18" s="5" t="s">
        <v>586</v>
      </c>
      <c r="L18" s="5" t="s">
        <v>617</v>
      </c>
    </row>
    <row r="19" customFormat="false" ht="15" hidden="false" customHeight="false" outlineLevel="0" collapsed="false">
      <c r="A19" s="5" t="s">
        <v>530</v>
      </c>
      <c r="B19" s="4" t="s">
        <v>128</v>
      </c>
      <c r="C19" s="5" t="s">
        <v>211</v>
      </c>
      <c r="D19" s="5" t="s">
        <v>583</v>
      </c>
      <c r="E19" s="5" t="s">
        <v>567</v>
      </c>
      <c r="F19" s="5" t="s">
        <v>70</v>
      </c>
      <c r="G19" s="5" t="s">
        <v>618</v>
      </c>
      <c r="H19" s="28" t="n">
        <f aca="false">MIN(IF(COUNTIFS('Interv. negocio y software'!$A$5:$A$36,$A19,'Interv. negocio y software'!$E$5:$E$36,$B19)&gt;0,_xlfn.MINIFS('Interv. negocio y software'!$H$5:$H$36,'Interv. negocio y software'!$A$5:$A$36,$A19,'Interv. negocio y software'!$E$5:$E$36,$B19),2958465),IF(COUNTIFS('Interv. agentes'!$A$5:$A$18,$A19,'Interv. agentes'!$D$5:$D$18,$B19)&gt;0,_xlfn.MINIFS('Interv. agentes'!$P$5:$P$18,'Interv. agentes'!$A$5:$A$18,$A19,'Interv. agentes'!$D$5:$D$18,$B19),2958465))</f>
        <v>46539</v>
      </c>
      <c r="I19" s="28" t="n">
        <f aca="false">MAX(_xlfn.MAXIFS('Interv. negocio y software'!$I$5:$I$36,'Interv. negocio y software'!$A$5:$A$36,$A19,'Interv. negocio y software'!$E$5:$E$36,$B19),_xlfn.MAXIFS('Interv. agentes'!$Q$5:$Q$18,'Interv. agentes'!$A$5:$A$18,$A19,'Interv. agentes'!$D$5:$D$18,$B19))</f>
        <v>46752</v>
      </c>
      <c r="J19" s="5" t="s">
        <v>619</v>
      </c>
      <c r="K19" s="5" t="s">
        <v>620</v>
      </c>
      <c r="L19" s="5"/>
    </row>
    <row r="20" customFormat="false" ht="23.85" hidden="false" customHeight="false" outlineLevel="0" collapsed="false">
      <c r="A20" s="5" t="s">
        <v>530</v>
      </c>
      <c r="B20" s="4" t="s">
        <v>137</v>
      </c>
      <c r="C20" s="5" t="s">
        <v>216</v>
      </c>
      <c r="D20" s="5" t="s">
        <v>621</v>
      </c>
      <c r="E20" s="5" t="s">
        <v>622</v>
      </c>
      <c r="F20" s="5" t="s">
        <v>81</v>
      </c>
      <c r="G20" s="5" t="s">
        <v>623</v>
      </c>
      <c r="H20" s="28" t="n">
        <f aca="false">MIN(IF(COUNTIFS('Interv. negocio y software'!$A$5:$A$36,$A20,'Interv. negocio y software'!$E$5:$E$36,$B20)&gt;0,_xlfn.MINIFS('Interv. negocio y software'!$H$5:$H$36,'Interv. negocio y software'!$A$5:$A$36,$A20,'Interv. negocio y software'!$E$5:$E$36,$B20),2958465),IF(COUNTIFS('Interv. agentes'!$A$5:$A$18,$A20,'Interv. agentes'!$D$5:$D$18,$B20)&gt;0,_xlfn.MINIFS('Interv. agentes'!$P$5:$P$18,'Interv. agentes'!$A$5:$A$18,$A20,'Interv. agentes'!$D$5:$D$18,$B20),2958465))</f>
        <v>46569</v>
      </c>
      <c r="I20" s="28" t="n">
        <f aca="false">MAX(_xlfn.MAXIFS('Interv. negocio y software'!$I$5:$I$36,'Interv. negocio y software'!$A$5:$A$36,$A20,'Interv. negocio y software'!$E$5:$E$36,$B20),_xlfn.MAXIFS('Interv. agentes'!$Q$5:$Q$18,'Interv. agentes'!$A$5:$A$18,$A20,'Interv. agentes'!$D$5:$D$18,$B20))</f>
        <v>47026</v>
      </c>
      <c r="J20" s="5" t="s">
        <v>624</v>
      </c>
      <c r="K20" s="5" t="s">
        <v>620</v>
      </c>
      <c r="L20" s="5" t="s">
        <v>625</v>
      </c>
    </row>
    <row r="21" customFormat="false" ht="23.85" hidden="false" customHeight="false" outlineLevel="0" collapsed="false">
      <c r="A21" s="5" t="s">
        <v>530</v>
      </c>
      <c r="B21" s="4" t="s">
        <v>160</v>
      </c>
      <c r="C21" s="5" t="s">
        <v>231</v>
      </c>
      <c r="D21" s="5" t="s">
        <v>626</v>
      </c>
      <c r="E21" s="5" t="s">
        <v>627</v>
      </c>
      <c r="F21" s="5" t="s">
        <v>84</v>
      </c>
      <c r="G21" s="5" t="s">
        <v>628</v>
      </c>
      <c r="H21" s="28" t="n">
        <f aca="false">MIN(IF(COUNTIFS('Interv. negocio y software'!$A$5:$A$36,$A21,'Interv. negocio y software'!$E$5:$E$36,$B21)&gt;0,_xlfn.MINIFS('Interv. negocio y software'!$H$5:$H$36,'Interv. negocio y software'!$A$5:$A$36,$A21,'Interv. negocio y software'!$E$5:$E$36,$B21),2958465),IF(COUNTIFS('Interv. agentes'!$A$5:$A$18,$A21,'Interv. agentes'!$D$5:$D$18,$B21)&gt;0,_xlfn.MINIFS('Interv. agentes'!$P$5:$P$18,'Interv. agentes'!$A$5:$A$18,$A21,'Interv. agentes'!$D$5:$D$18,$B21),2958465))</f>
        <v>46631</v>
      </c>
      <c r="I21" s="28" t="n">
        <f aca="false">MAX(_xlfn.MAXIFS('Interv. negocio y software'!$I$5:$I$36,'Interv. negocio y software'!$A$5:$A$36,$A21,'Interv. negocio y software'!$E$5:$E$36,$B21),_xlfn.MAXIFS('Interv. agentes'!$Q$5:$Q$18,'Interv. agentes'!$A$5:$A$18,$A21,'Interv. agentes'!$D$5:$D$18,$B21))</f>
        <v>47026</v>
      </c>
      <c r="J21" s="5" t="s">
        <v>629</v>
      </c>
      <c r="K21" s="5" t="s">
        <v>620</v>
      </c>
      <c r="L21" s="5" t="s">
        <v>630</v>
      </c>
    </row>
    <row r="22" customFormat="false" ht="23.85" hidden="false" customHeight="false" outlineLevel="0" collapsed="false">
      <c r="A22" s="5" t="s">
        <v>530</v>
      </c>
      <c r="B22" s="4" t="s">
        <v>173</v>
      </c>
      <c r="C22" s="5" t="s">
        <v>236</v>
      </c>
      <c r="D22" s="5" t="s">
        <v>631</v>
      </c>
      <c r="E22" s="5" t="s">
        <v>632</v>
      </c>
      <c r="F22" s="5" t="s">
        <v>70</v>
      </c>
      <c r="G22" s="5" t="s">
        <v>633</v>
      </c>
      <c r="H22" s="28" t="n">
        <f aca="false">MIN(IF(COUNTIFS('Interv. negocio y software'!$A$5:$A$36,$A22,'Interv. negocio y software'!$E$5:$E$36,$B22)&gt;0,_xlfn.MINIFS('Interv. negocio y software'!$H$5:$H$36,'Interv. negocio y software'!$A$5:$A$36,$A22,'Interv. negocio y software'!$E$5:$E$36,$B22),2958465),IF(COUNTIFS('Interv. agentes'!$A$5:$A$18,$A22,'Interv. agentes'!$D$5:$D$18,$B22)&gt;0,_xlfn.MINIFS('Interv. agentes'!$P$5:$P$18,'Interv. agentes'!$A$5:$A$18,$A22,'Interv. agentes'!$D$5:$D$18,$B22),2958465))</f>
        <v>46447</v>
      </c>
      <c r="I22" s="28" t="n">
        <f aca="false">MAX(_xlfn.MAXIFS('Interv. negocio y software'!$I$5:$I$36,'Interv. negocio y software'!$A$5:$A$36,$A22,'Interv. negocio y software'!$E$5:$E$36,$B22),_xlfn.MAXIFS('Interv. agentes'!$Q$5:$Q$18,'Interv. agentes'!$A$5:$A$18,$A22,'Interv. agentes'!$D$5:$D$18,$B22))</f>
        <v>47026</v>
      </c>
      <c r="J22" s="5" t="s">
        <v>634</v>
      </c>
      <c r="K22" s="5" t="s">
        <v>620</v>
      </c>
      <c r="L22" s="5" t="s">
        <v>635</v>
      </c>
    </row>
    <row r="23" customFormat="false" ht="23.85" hidden="false" customHeight="false" outlineLevel="0" collapsed="false">
      <c r="A23" s="5" t="s">
        <v>530</v>
      </c>
      <c r="B23" s="4" t="s">
        <v>192</v>
      </c>
      <c r="C23" s="5" t="s">
        <v>245</v>
      </c>
      <c r="D23" s="5" t="s">
        <v>636</v>
      </c>
      <c r="E23" s="5" t="s">
        <v>637</v>
      </c>
      <c r="F23" s="5" t="s">
        <v>78</v>
      </c>
      <c r="G23" s="5" t="s">
        <v>70</v>
      </c>
      <c r="H23" s="28" t="n">
        <f aca="false">MIN(IF(COUNTIFS('Interv. negocio y software'!$A$5:$A$36,$A23,'Interv. negocio y software'!$E$5:$E$36,$B23)&gt;0,_xlfn.MINIFS('Interv. negocio y software'!$H$5:$H$36,'Interv. negocio y software'!$A$5:$A$36,$A23,'Interv. negocio y software'!$E$5:$E$36,$B23),2958465),IF(COUNTIFS('Interv. agentes'!$A$5:$A$18,$A23,'Interv. agentes'!$D$5:$D$18,$B23)&gt;0,_xlfn.MINIFS('Interv. agentes'!$P$5:$P$18,'Interv. agentes'!$A$5:$A$18,$A23,'Interv. agentes'!$D$5:$D$18,$B23),2958465))</f>
        <v>46539</v>
      </c>
      <c r="I23" s="28" t="n">
        <f aca="false">MAX(_xlfn.MAXIFS('Interv. negocio y software'!$I$5:$I$36,'Interv. negocio y software'!$A$5:$A$36,$A23,'Interv. negocio y software'!$E$5:$E$36,$B23),_xlfn.MAXIFS('Interv. agentes'!$Q$5:$Q$18,'Interv. agentes'!$A$5:$A$18,$A23,'Interv. agentes'!$D$5:$D$18,$B23))</f>
        <v>47026</v>
      </c>
      <c r="J23" s="5" t="s">
        <v>638</v>
      </c>
      <c r="K23" s="5" t="s">
        <v>620</v>
      </c>
      <c r="L23" s="5" t="s">
        <v>639</v>
      </c>
    </row>
  </sheetData>
  <autoFilter ref="A4:L23"/>
  <conditionalFormatting sqref="L5:L23">
    <cfRule type="expression" priority="2" aboveAverage="0" equalAverage="0" bottom="0" percent="0" rank="0" text="" dxfId="9">
      <formula>LEN($L5)&gt;0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9"/>
    <col collapsed="false" customWidth="true" hidden="false" outlineLevel="0" max="3" min="3" style="0" width="34"/>
    <col collapsed="false" customWidth="true" hidden="false" outlineLevel="0" max="4" min="4" style="0" width="10"/>
    <col collapsed="false" customWidth="true" hidden="false" outlineLevel="0" max="5" min="5" style="0" width="9"/>
    <col collapsed="false" customWidth="true" hidden="false" outlineLevel="0" max="6" min="6" style="0" width="62"/>
    <col collapsed="false" customWidth="true" hidden="false" outlineLevel="0" max="7" min="7" style="0" width="30"/>
    <col collapsed="false" customWidth="true" hidden="false" outlineLevel="0" max="9" min="8" style="0" width="11"/>
    <col collapsed="false" customWidth="true" hidden="false" outlineLevel="0" max="10" min="10" style="0" width="52"/>
    <col collapsed="false" customWidth="true" hidden="false" outlineLevel="0" max="11" min="11" style="0" width="30"/>
  </cols>
  <sheetData>
    <row r="1" customFormat="false" ht="17.35" hidden="false" customHeight="false" outlineLevel="0" collapsed="false">
      <c r="A1" s="1" t="s">
        <v>640</v>
      </c>
    </row>
    <row r="2" customFormat="false" ht="15" hidden="false" customHeight="false" outlineLevel="0" collapsed="false">
      <c r="A2" s="2" t="s">
        <v>641</v>
      </c>
    </row>
    <row r="4" customFormat="false" ht="15" hidden="false" customHeight="false" outlineLevel="0" collapsed="false">
      <c r="A4" s="3" t="s">
        <v>465</v>
      </c>
      <c r="B4" s="3" t="s">
        <v>201</v>
      </c>
      <c r="C4" s="3" t="s">
        <v>110</v>
      </c>
      <c r="D4" s="3" t="s">
        <v>262</v>
      </c>
      <c r="E4" s="3" t="s">
        <v>202</v>
      </c>
      <c r="F4" s="3" t="s">
        <v>263</v>
      </c>
      <c r="G4" s="3" t="s">
        <v>642</v>
      </c>
      <c r="H4" s="3" t="s">
        <v>643</v>
      </c>
      <c r="I4" s="3" t="s">
        <v>644</v>
      </c>
      <c r="J4" s="3" t="s">
        <v>645</v>
      </c>
      <c r="K4" s="3" t="s">
        <v>646</v>
      </c>
    </row>
    <row r="5" customFormat="false" ht="35.05" hidden="false" customHeight="false" outlineLevel="0" collapsed="false">
      <c r="A5" s="5" t="s">
        <v>49</v>
      </c>
      <c r="B5" s="4" t="s">
        <v>647</v>
      </c>
      <c r="C5" s="5" t="s">
        <v>648</v>
      </c>
      <c r="D5" s="4" t="s">
        <v>271</v>
      </c>
      <c r="E5" s="4" t="s">
        <v>128</v>
      </c>
      <c r="F5" s="5" t="s">
        <v>272</v>
      </c>
      <c r="G5" s="5" t="s">
        <v>649</v>
      </c>
      <c r="H5" s="28" t="n">
        <v>46419</v>
      </c>
      <c r="I5" s="28" t="n">
        <v>46477</v>
      </c>
      <c r="J5" s="5"/>
      <c r="K5" s="5" t="s">
        <v>650</v>
      </c>
    </row>
    <row r="6" customFormat="false" ht="23.85" hidden="false" customHeight="false" outlineLevel="0" collapsed="false">
      <c r="A6" s="5" t="s">
        <v>49</v>
      </c>
      <c r="B6" s="4" t="s">
        <v>651</v>
      </c>
      <c r="C6" s="5" t="s">
        <v>652</v>
      </c>
      <c r="D6" s="4" t="s">
        <v>271</v>
      </c>
      <c r="E6" s="4" t="s">
        <v>128</v>
      </c>
      <c r="F6" s="5" t="s">
        <v>277</v>
      </c>
      <c r="G6" s="5" t="s">
        <v>44</v>
      </c>
      <c r="H6" s="28" t="n">
        <v>46447</v>
      </c>
      <c r="I6" s="28" t="n">
        <v>46507</v>
      </c>
      <c r="J6" s="5"/>
      <c r="K6" s="5"/>
    </row>
    <row r="7" customFormat="false" ht="35.05" hidden="false" customHeight="false" outlineLevel="0" collapsed="false">
      <c r="A7" s="5" t="s">
        <v>49</v>
      </c>
      <c r="B7" s="4" t="s">
        <v>653</v>
      </c>
      <c r="C7" s="5" t="s">
        <v>654</v>
      </c>
      <c r="D7" s="4" t="s">
        <v>288</v>
      </c>
      <c r="E7" s="4" t="s">
        <v>137</v>
      </c>
      <c r="F7" s="5" t="s">
        <v>289</v>
      </c>
      <c r="G7" s="5" t="s">
        <v>655</v>
      </c>
      <c r="H7" s="28" t="n">
        <v>46539</v>
      </c>
      <c r="I7" s="28" t="n">
        <v>46598</v>
      </c>
      <c r="J7" s="5" t="s">
        <v>656</v>
      </c>
      <c r="K7" s="5" t="s">
        <v>650</v>
      </c>
    </row>
    <row r="8" customFormat="false" ht="35.05" hidden="false" customHeight="false" outlineLevel="0" collapsed="false">
      <c r="A8" s="5" t="s">
        <v>49</v>
      </c>
      <c r="B8" s="4" t="s">
        <v>657</v>
      </c>
      <c r="C8" s="5" t="s">
        <v>658</v>
      </c>
      <c r="D8" s="4" t="s">
        <v>271</v>
      </c>
      <c r="E8" s="4" t="s">
        <v>137</v>
      </c>
      <c r="F8" s="5" t="s">
        <v>291</v>
      </c>
      <c r="G8" s="5" t="s">
        <v>649</v>
      </c>
      <c r="H8" s="28" t="n">
        <v>46510</v>
      </c>
      <c r="I8" s="28" t="n">
        <v>46568</v>
      </c>
      <c r="J8" s="5"/>
      <c r="K8" s="5"/>
    </row>
    <row r="9" customFormat="false" ht="23.85" hidden="false" customHeight="false" outlineLevel="0" collapsed="false">
      <c r="A9" s="5" t="s">
        <v>49</v>
      </c>
      <c r="B9" s="4" t="s">
        <v>659</v>
      </c>
      <c r="C9" s="5" t="s">
        <v>660</v>
      </c>
      <c r="D9" s="4" t="s">
        <v>288</v>
      </c>
      <c r="E9" s="4" t="s">
        <v>137</v>
      </c>
      <c r="F9" s="5" t="s">
        <v>293</v>
      </c>
      <c r="G9" s="5" t="s">
        <v>655</v>
      </c>
      <c r="H9" s="28" t="n">
        <v>46539</v>
      </c>
      <c r="I9" s="28" t="n">
        <v>46598</v>
      </c>
      <c r="J9" s="5" t="s">
        <v>661</v>
      </c>
      <c r="K9" s="5"/>
    </row>
    <row r="10" customFormat="false" ht="23.85" hidden="false" customHeight="false" outlineLevel="0" collapsed="false">
      <c r="A10" s="5" t="s">
        <v>49</v>
      </c>
      <c r="B10" s="4" t="s">
        <v>662</v>
      </c>
      <c r="C10" s="5" t="s">
        <v>663</v>
      </c>
      <c r="D10" s="4" t="s">
        <v>271</v>
      </c>
      <c r="E10" s="4" t="s">
        <v>144</v>
      </c>
      <c r="F10" s="5" t="s">
        <v>301</v>
      </c>
      <c r="G10" s="5" t="s">
        <v>649</v>
      </c>
      <c r="H10" s="28" t="n">
        <v>46447</v>
      </c>
      <c r="I10" s="28" t="n">
        <v>46477</v>
      </c>
      <c r="J10" s="5"/>
      <c r="K10" s="5"/>
    </row>
    <row r="11" customFormat="false" ht="35.05" hidden="false" customHeight="false" outlineLevel="0" collapsed="false">
      <c r="A11" s="5" t="s">
        <v>49</v>
      </c>
      <c r="B11" s="4" t="s">
        <v>664</v>
      </c>
      <c r="C11" s="5" t="s">
        <v>665</v>
      </c>
      <c r="D11" s="4" t="s">
        <v>271</v>
      </c>
      <c r="E11" s="4" t="s">
        <v>144</v>
      </c>
      <c r="F11" s="5" t="s">
        <v>306</v>
      </c>
      <c r="G11" s="5" t="s">
        <v>58</v>
      </c>
      <c r="H11" s="28" t="n">
        <v>46478</v>
      </c>
      <c r="I11" s="28" t="n">
        <v>46538</v>
      </c>
      <c r="J11" s="5"/>
      <c r="K11" s="5"/>
    </row>
    <row r="12" customFormat="false" ht="23.85" hidden="false" customHeight="false" outlineLevel="0" collapsed="false">
      <c r="A12" s="5" t="s">
        <v>49</v>
      </c>
      <c r="B12" s="4" t="s">
        <v>666</v>
      </c>
      <c r="C12" s="5" t="s">
        <v>667</v>
      </c>
      <c r="D12" s="4" t="s">
        <v>288</v>
      </c>
      <c r="E12" s="4" t="s">
        <v>144</v>
      </c>
      <c r="F12" s="5" t="s">
        <v>308</v>
      </c>
      <c r="G12" s="5" t="s">
        <v>655</v>
      </c>
      <c r="H12" s="28" t="n">
        <v>46631</v>
      </c>
      <c r="I12" s="28" t="n">
        <v>46721</v>
      </c>
      <c r="J12" s="5"/>
      <c r="K12" s="5"/>
    </row>
    <row r="13" customFormat="false" ht="23.85" hidden="false" customHeight="false" outlineLevel="0" collapsed="false">
      <c r="A13" s="5" t="s">
        <v>49</v>
      </c>
      <c r="B13" s="4" t="s">
        <v>668</v>
      </c>
      <c r="C13" s="5" t="s">
        <v>669</v>
      </c>
      <c r="D13" s="4" t="s">
        <v>271</v>
      </c>
      <c r="E13" s="4" t="s">
        <v>225</v>
      </c>
      <c r="F13" s="5" t="s">
        <v>312</v>
      </c>
      <c r="G13" s="5" t="s">
        <v>649</v>
      </c>
      <c r="H13" s="28" t="n">
        <v>46447</v>
      </c>
      <c r="I13" s="28" t="n">
        <v>46507</v>
      </c>
      <c r="J13" s="5"/>
      <c r="K13" s="5"/>
    </row>
    <row r="14" customFormat="false" ht="35.05" hidden="false" customHeight="false" outlineLevel="0" collapsed="false">
      <c r="A14" s="5" t="s">
        <v>49</v>
      </c>
      <c r="B14" s="4" t="s">
        <v>670</v>
      </c>
      <c r="C14" s="5" t="s">
        <v>671</v>
      </c>
      <c r="D14" s="4" t="s">
        <v>271</v>
      </c>
      <c r="E14" s="4" t="s">
        <v>192</v>
      </c>
      <c r="F14" s="5" t="s">
        <v>327</v>
      </c>
      <c r="G14" s="5" t="s">
        <v>649</v>
      </c>
      <c r="H14" s="28" t="n">
        <v>46510</v>
      </c>
      <c r="I14" s="28" t="n">
        <v>46568</v>
      </c>
      <c r="J14" s="5"/>
      <c r="K14" s="5"/>
    </row>
    <row r="15" customFormat="false" ht="23.85" hidden="false" customHeight="false" outlineLevel="0" collapsed="false">
      <c r="A15" s="5" t="s">
        <v>49</v>
      </c>
      <c r="B15" s="4" t="s">
        <v>672</v>
      </c>
      <c r="C15" s="5" t="s">
        <v>673</v>
      </c>
      <c r="D15" s="4" t="s">
        <v>288</v>
      </c>
      <c r="E15" s="4" t="s">
        <v>192</v>
      </c>
      <c r="F15" s="5" t="s">
        <v>331</v>
      </c>
      <c r="G15" s="5" t="s">
        <v>655</v>
      </c>
      <c r="H15" s="28" t="n">
        <v>46478</v>
      </c>
      <c r="I15" s="28" t="n">
        <v>46568</v>
      </c>
      <c r="J15" s="5" t="s">
        <v>674</v>
      </c>
      <c r="K15" s="5"/>
    </row>
    <row r="16" customFormat="false" ht="35.05" hidden="false" customHeight="false" outlineLevel="0" collapsed="false">
      <c r="A16" s="5" t="s">
        <v>92</v>
      </c>
      <c r="B16" s="4" t="s">
        <v>647</v>
      </c>
      <c r="C16" s="5" t="s">
        <v>675</v>
      </c>
      <c r="D16" s="4" t="s">
        <v>271</v>
      </c>
      <c r="E16" s="4" t="s">
        <v>128</v>
      </c>
      <c r="F16" s="5" t="s">
        <v>342</v>
      </c>
      <c r="G16" s="5" t="s">
        <v>676</v>
      </c>
      <c r="H16" s="28" t="n">
        <v>46664</v>
      </c>
      <c r="I16" s="28" t="n">
        <v>46738</v>
      </c>
      <c r="J16" s="5"/>
      <c r="K16" s="5"/>
    </row>
    <row r="17" customFormat="false" ht="23.85" hidden="false" customHeight="false" outlineLevel="0" collapsed="false">
      <c r="A17" s="5" t="s">
        <v>92</v>
      </c>
      <c r="B17" s="4" t="s">
        <v>651</v>
      </c>
      <c r="C17" s="5" t="s">
        <v>677</v>
      </c>
      <c r="D17" s="4" t="s">
        <v>271</v>
      </c>
      <c r="E17" s="4" t="s">
        <v>128</v>
      </c>
      <c r="F17" s="5" t="s">
        <v>344</v>
      </c>
      <c r="G17" s="5" t="s">
        <v>649</v>
      </c>
      <c r="H17" s="28" t="n">
        <v>46693</v>
      </c>
      <c r="I17" s="28" t="n">
        <v>46783</v>
      </c>
      <c r="J17" s="5"/>
      <c r="K17" s="5"/>
    </row>
    <row r="18" customFormat="false" ht="35.05" hidden="false" customHeight="false" outlineLevel="0" collapsed="false">
      <c r="A18" s="5" t="s">
        <v>92</v>
      </c>
      <c r="B18" s="4" t="s">
        <v>653</v>
      </c>
      <c r="C18" s="5" t="s">
        <v>678</v>
      </c>
      <c r="D18" s="4" t="s">
        <v>271</v>
      </c>
      <c r="E18" s="4" t="s">
        <v>137</v>
      </c>
      <c r="F18" s="5" t="s">
        <v>349</v>
      </c>
      <c r="G18" s="5" t="s">
        <v>649</v>
      </c>
      <c r="H18" s="28" t="n">
        <v>46664</v>
      </c>
      <c r="I18" s="28" t="n">
        <v>46738</v>
      </c>
      <c r="J18" s="5"/>
      <c r="K18" s="5" t="s">
        <v>679</v>
      </c>
    </row>
    <row r="19" customFormat="false" ht="23.85" hidden="false" customHeight="false" outlineLevel="0" collapsed="false">
      <c r="A19" s="5" t="s">
        <v>92</v>
      </c>
      <c r="B19" s="4" t="s">
        <v>657</v>
      </c>
      <c r="C19" s="5" t="s">
        <v>680</v>
      </c>
      <c r="D19" s="4" t="s">
        <v>271</v>
      </c>
      <c r="E19" s="4" t="s">
        <v>137</v>
      </c>
      <c r="F19" s="5" t="s">
        <v>351</v>
      </c>
      <c r="G19" s="5" t="s">
        <v>649</v>
      </c>
      <c r="H19" s="28" t="n">
        <v>46693</v>
      </c>
      <c r="I19" s="28" t="n">
        <v>46783</v>
      </c>
      <c r="J19" s="5"/>
      <c r="K19" s="5"/>
    </row>
    <row r="20" customFormat="false" ht="23.85" hidden="false" customHeight="false" outlineLevel="0" collapsed="false">
      <c r="A20" s="5" t="s">
        <v>92</v>
      </c>
      <c r="B20" s="4" t="s">
        <v>659</v>
      </c>
      <c r="C20" s="5" t="s">
        <v>681</v>
      </c>
      <c r="D20" s="4" t="s">
        <v>271</v>
      </c>
      <c r="E20" s="4" t="s">
        <v>144</v>
      </c>
      <c r="F20" s="5" t="s">
        <v>359</v>
      </c>
      <c r="G20" s="5" t="s">
        <v>649</v>
      </c>
      <c r="H20" s="28" t="n">
        <v>46664</v>
      </c>
      <c r="I20" s="28" t="n">
        <v>46738</v>
      </c>
      <c r="J20" s="5"/>
      <c r="K20" s="5" t="s">
        <v>682</v>
      </c>
    </row>
    <row r="21" customFormat="false" ht="23.85" hidden="false" customHeight="false" outlineLevel="0" collapsed="false">
      <c r="A21" s="5" t="s">
        <v>92</v>
      </c>
      <c r="B21" s="4" t="s">
        <v>662</v>
      </c>
      <c r="C21" s="5" t="s">
        <v>683</v>
      </c>
      <c r="D21" s="4" t="s">
        <v>288</v>
      </c>
      <c r="E21" s="4" t="s">
        <v>160</v>
      </c>
      <c r="F21" s="5" t="s">
        <v>373</v>
      </c>
      <c r="G21" s="5" t="s">
        <v>655</v>
      </c>
      <c r="H21" s="28" t="n">
        <v>46722</v>
      </c>
      <c r="I21" s="28" t="n">
        <v>46843</v>
      </c>
      <c r="J21" s="5" t="s">
        <v>684</v>
      </c>
      <c r="K21" s="5"/>
    </row>
    <row r="22" customFormat="false" ht="23.85" hidden="false" customHeight="false" outlineLevel="0" collapsed="false">
      <c r="A22" s="5" t="s">
        <v>92</v>
      </c>
      <c r="B22" s="4" t="s">
        <v>664</v>
      </c>
      <c r="C22" s="5" t="s">
        <v>685</v>
      </c>
      <c r="D22" s="4" t="s">
        <v>288</v>
      </c>
      <c r="E22" s="4" t="s">
        <v>173</v>
      </c>
      <c r="F22" s="5" t="s">
        <v>380</v>
      </c>
      <c r="G22" s="5" t="s">
        <v>606</v>
      </c>
      <c r="H22" s="28" t="n">
        <v>46693</v>
      </c>
      <c r="I22" s="28" t="n">
        <v>46808</v>
      </c>
      <c r="J22" s="5" t="s">
        <v>686</v>
      </c>
      <c r="K22" s="5"/>
    </row>
    <row r="23" customFormat="false" ht="23.85" hidden="false" customHeight="false" outlineLevel="0" collapsed="false">
      <c r="A23" s="5" t="s">
        <v>92</v>
      </c>
      <c r="B23" s="4" t="s">
        <v>672</v>
      </c>
      <c r="C23" s="5" t="s">
        <v>687</v>
      </c>
      <c r="D23" s="4" t="s">
        <v>288</v>
      </c>
      <c r="E23" s="4" t="s">
        <v>186</v>
      </c>
      <c r="F23" s="5" t="s">
        <v>390</v>
      </c>
      <c r="G23" s="5" t="s">
        <v>655</v>
      </c>
      <c r="H23" s="28" t="n">
        <v>46755</v>
      </c>
      <c r="I23" s="28" t="n">
        <v>46871</v>
      </c>
      <c r="J23" s="5" t="s">
        <v>688</v>
      </c>
      <c r="K23" s="5"/>
    </row>
    <row r="24" customFormat="false" ht="23.85" hidden="false" customHeight="false" outlineLevel="0" collapsed="false">
      <c r="A24" s="5" t="s">
        <v>92</v>
      </c>
      <c r="B24" s="4" t="s">
        <v>666</v>
      </c>
      <c r="C24" s="5" t="s">
        <v>689</v>
      </c>
      <c r="D24" s="4" t="s">
        <v>271</v>
      </c>
      <c r="E24" s="4" t="s">
        <v>192</v>
      </c>
      <c r="F24" s="5" t="s">
        <v>394</v>
      </c>
      <c r="G24" s="5" t="s">
        <v>649</v>
      </c>
      <c r="H24" s="28" t="n">
        <v>46664</v>
      </c>
      <c r="I24" s="28" t="n">
        <v>46721</v>
      </c>
      <c r="J24" s="5"/>
      <c r="K24" s="5"/>
    </row>
    <row r="25" customFormat="false" ht="23.85" hidden="false" customHeight="false" outlineLevel="0" collapsed="false">
      <c r="A25" s="5" t="s">
        <v>92</v>
      </c>
      <c r="B25" s="4" t="s">
        <v>668</v>
      </c>
      <c r="C25" s="5" t="s">
        <v>690</v>
      </c>
      <c r="D25" s="4" t="s">
        <v>271</v>
      </c>
      <c r="E25" s="4" t="s">
        <v>192</v>
      </c>
      <c r="F25" s="5" t="s">
        <v>398</v>
      </c>
      <c r="G25" s="5" t="s">
        <v>649</v>
      </c>
      <c r="H25" s="28" t="n">
        <v>46664</v>
      </c>
      <c r="I25" s="28" t="n">
        <v>46721</v>
      </c>
      <c r="J25" s="5"/>
      <c r="K25" s="5"/>
    </row>
    <row r="26" customFormat="false" ht="23.85" hidden="false" customHeight="false" outlineLevel="0" collapsed="false">
      <c r="A26" s="5" t="s">
        <v>92</v>
      </c>
      <c r="B26" s="4" t="s">
        <v>670</v>
      </c>
      <c r="C26" s="5" t="s">
        <v>691</v>
      </c>
      <c r="D26" s="4" t="s">
        <v>288</v>
      </c>
      <c r="E26" s="4" t="s">
        <v>192</v>
      </c>
      <c r="F26" s="5" t="s">
        <v>400</v>
      </c>
      <c r="G26" s="5" t="s">
        <v>655</v>
      </c>
      <c r="H26" s="28" t="n">
        <v>46755</v>
      </c>
      <c r="I26" s="28" t="n">
        <v>46843</v>
      </c>
      <c r="J26" s="5" t="s">
        <v>692</v>
      </c>
      <c r="K26" s="5"/>
    </row>
    <row r="27" customFormat="false" ht="35.05" hidden="false" customHeight="false" outlineLevel="0" collapsed="false">
      <c r="A27" s="5" t="s">
        <v>530</v>
      </c>
      <c r="B27" s="4" t="s">
        <v>647</v>
      </c>
      <c r="C27" s="5" t="s">
        <v>693</v>
      </c>
      <c r="D27" s="4" t="s">
        <v>271</v>
      </c>
      <c r="E27" s="4" t="s">
        <v>128</v>
      </c>
      <c r="F27" s="5" t="s">
        <v>413</v>
      </c>
      <c r="G27" s="5" t="s">
        <v>649</v>
      </c>
      <c r="H27" s="28" t="n">
        <v>46539</v>
      </c>
      <c r="I27" s="28" t="n">
        <v>46752</v>
      </c>
      <c r="J27" s="5"/>
      <c r="K27" s="5"/>
    </row>
    <row r="28" customFormat="false" ht="23.85" hidden="false" customHeight="false" outlineLevel="0" collapsed="false">
      <c r="A28" s="5" t="s">
        <v>530</v>
      </c>
      <c r="B28" s="4" t="s">
        <v>651</v>
      </c>
      <c r="C28" s="5" t="s">
        <v>694</v>
      </c>
      <c r="D28" s="4" t="s">
        <v>288</v>
      </c>
      <c r="E28" s="4" t="s">
        <v>128</v>
      </c>
      <c r="F28" s="5" t="s">
        <v>415</v>
      </c>
      <c r="G28" s="5" t="s">
        <v>655</v>
      </c>
      <c r="H28" s="28" t="n">
        <v>46539</v>
      </c>
      <c r="I28" s="28" t="n">
        <v>46630</v>
      </c>
      <c r="J28" s="5" t="s">
        <v>695</v>
      </c>
      <c r="K28" s="5"/>
    </row>
    <row r="29" customFormat="false" ht="35.05" hidden="false" customHeight="false" outlineLevel="0" collapsed="false">
      <c r="A29" s="5" t="s">
        <v>530</v>
      </c>
      <c r="B29" s="4" t="s">
        <v>653</v>
      </c>
      <c r="C29" s="5" t="s">
        <v>696</v>
      </c>
      <c r="D29" s="4" t="s">
        <v>271</v>
      </c>
      <c r="E29" s="4" t="s">
        <v>137</v>
      </c>
      <c r="F29" s="5" t="s">
        <v>420</v>
      </c>
      <c r="G29" s="5" t="s">
        <v>649</v>
      </c>
      <c r="H29" s="28" t="n">
        <v>46569</v>
      </c>
      <c r="I29" s="28" t="n">
        <v>46660</v>
      </c>
      <c r="J29" s="5"/>
      <c r="K29" s="5"/>
    </row>
    <row r="30" customFormat="false" ht="23.85" hidden="false" customHeight="false" outlineLevel="0" collapsed="false">
      <c r="A30" s="5" t="s">
        <v>530</v>
      </c>
      <c r="B30" s="4" t="s">
        <v>657</v>
      </c>
      <c r="C30" s="5" t="s">
        <v>697</v>
      </c>
      <c r="D30" s="4" t="s">
        <v>288</v>
      </c>
      <c r="E30" s="4" t="s">
        <v>160</v>
      </c>
      <c r="F30" s="5" t="s">
        <v>429</v>
      </c>
      <c r="G30" s="5" t="s">
        <v>655</v>
      </c>
      <c r="H30" s="28" t="n">
        <v>46631</v>
      </c>
      <c r="I30" s="28" t="n">
        <v>46752</v>
      </c>
      <c r="J30" s="5" t="s">
        <v>698</v>
      </c>
      <c r="K30" s="5"/>
    </row>
    <row r="31" customFormat="false" ht="35.05" hidden="false" customHeight="false" outlineLevel="0" collapsed="false">
      <c r="A31" s="5" t="s">
        <v>530</v>
      </c>
      <c r="B31" s="4" t="s">
        <v>659</v>
      </c>
      <c r="C31" s="5" t="s">
        <v>699</v>
      </c>
      <c r="D31" s="4" t="s">
        <v>288</v>
      </c>
      <c r="E31" s="4" t="s">
        <v>160</v>
      </c>
      <c r="F31" s="5" t="s">
        <v>433</v>
      </c>
      <c r="G31" s="5" t="s">
        <v>655</v>
      </c>
      <c r="H31" s="28" t="n">
        <v>46631</v>
      </c>
      <c r="I31" s="28" t="n">
        <v>46721</v>
      </c>
      <c r="J31" s="5"/>
      <c r="K31" s="5"/>
    </row>
    <row r="32" customFormat="false" ht="35.05" hidden="false" customHeight="false" outlineLevel="0" collapsed="false">
      <c r="A32" s="5" t="s">
        <v>530</v>
      </c>
      <c r="B32" s="4" t="s">
        <v>662</v>
      </c>
      <c r="C32" s="5" t="s">
        <v>700</v>
      </c>
      <c r="D32" s="4" t="s">
        <v>271</v>
      </c>
      <c r="E32" s="4" t="s">
        <v>160</v>
      </c>
      <c r="F32" s="5" t="s">
        <v>435</v>
      </c>
      <c r="G32" s="5" t="s">
        <v>649</v>
      </c>
      <c r="H32" s="28" t="n">
        <v>46661</v>
      </c>
      <c r="I32" s="28" t="n">
        <v>46752</v>
      </c>
      <c r="J32" s="5"/>
      <c r="K32" s="5"/>
    </row>
    <row r="33" customFormat="false" ht="35.05" hidden="false" customHeight="false" outlineLevel="0" collapsed="false">
      <c r="A33" s="5" t="s">
        <v>530</v>
      </c>
      <c r="B33" s="4" t="s">
        <v>672</v>
      </c>
      <c r="C33" s="5" t="s">
        <v>701</v>
      </c>
      <c r="D33" s="4" t="s">
        <v>288</v>
      </c>
      <c r="E33" s="4" t="s">
        <v>173</v>
      </c>
      <c r="F33" s="5" t="s">
        <v>442</v>
      </c>
      <c r="G33" s="5" t="s">
        <v>655</v>
      </c>
      <c r="H33" s="28" t="n">
        <v>46447</v>
      </c>
      <c r="I33" s="28" t="n">
        <v>46660</v>
      </c>
      <c r="J33" s="5" t="s">
        <v>702</v>
      </c>
      <c r="K33" s="5" t="s">
        <v>703</v>
      </c>
    </row>
    <row r="34" customFormat="false" ht="23.85" hidden="false" customHeight="false" outlineLevel="0" collapsed="false">
      <c r="A34" s="5" t="s">
        <v>530</v>
      </c>
      <c r="B34" s="4" t="s">
        <v>666</v>
      </c>
      <c r="C34" s="5" t="s">
        <v>704</v>
      </c>
      <c r="D34" s="4" t="s">
        <v>271</v>
      </c>
      <c r="E34" s="4" t="s">
        <v>192</v>
      </c>
      <c r="F34" s="5" t="s">
        <v>452</v>
      </c>
      <c r="G34" s="5" t="s">
        <v>649</v>
      </c>
      <c r="H34" s="28" t="n">
        <v>46539</v>
      </c>
      <c r="I34" s="28" t="n">
        <v>46599</v>
      </c>
      <c r="J34" s="5"/>
      <c r="K34" s="5" t="s">
        <v>705</v>
      </c>
    </row>
    <row r="35" customFormat="false" ht="23.85" hidden="false" customHeight="false" outlineLevel="0" collapsed="false">
      <c r="A35" s="5" t="s">
        <v>530</v>
      </c>
      <c r="B35" s="4" t="s">
        <v>668</v>
      </c>
      <c r="C35" s="5" t="s">
        <v>706</v>
      </c>
      <c r="D35" s="4" t="s">
        <v>271</v>
      </c>
      <c r="E35" s="4" t="s">
        <v>192</v>
      </c>
      <c r="F35" s="5" t="s">
        <v>454</v>
      </c>
      <c r="G35" s="5" t="s">
        <v>70</v>
      </c>
      <c r="H35" s="28" t="n">
        <v>46600</v>
      </c>
      <c r="I35" s="28" t="n">
        <v>46660</v>
      </c>
      <c r="J35" s="5"/>
      <c r="K35" s="5"/>
    </row>
    <row r="36" customFormat="false" ht="23.85" hidden="false" customHeight="false" outlineLevel="0" collapsed="false">
      <c r="A36" s="5" t="s">
        <v>530</v>
      </c>
      <c r="B36" s="4" t="s">
        <v>670</v>
      </c>
      <c r="C36" s="5" t="s">
        <v>707</v>
      </c>
      <c r="D36" s="4" t="s">
        <v>288</v>
      </c>
      <c r="E36" s="4" t="s">
        <v>192</v>
      </c>
      <c r="F36" s="5" t="s">
        <v>456</v>
      </c>
      <c r="G36" s="5" t="s">
        <v>655</v>
      </c>
      <c r="H36" s="28" t="n">
        <v>46844</v>
      </c>
      <c r="I36" s="28" t="n">
        <v>46934</v>
      </c>
      <c r="J36" s="5" t="s">
        <v>708</v>
      </c>
      <c r="K36" s="5"/>
    </row>
  </sheetData>
  <autoFilter ref="A4:K3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9"/>
    <col collapsed="false" customWidth="true" hidden="false" outlineLevel="0" max="3" min="3" style="0" width="30"/>
    <col collapsed="false" customWidth="true" hidden="false" outlineLevel="0" max="4" min="4" style="0" width="9"/>
    <col collapsed="false" customWidth="true" hidden="false" outlineLevel="0" max="5" min="5" style="0" width="20"/>
    <col collapsed="false" customWidth="true" hidden="false" outlineLevel="0" max="6" min="6" style="0" width="58"/>
    <col collapsed="false" customWidth="true" hidden="false" outlineLevel="0" max="7" min="7" style="0" width="46"/>
    <col collapsed="false" customWidth="true" hidden="false" outlineLevel="0" max="8" min="8" style="0" width="42"/>
    <col collapsed="false" customWidth="true" hidden="false" outlineLevel="0" max="9" min="9" style="0" width="52"/>
    <col collapsed="false" customWidth="true" hidden="false" outlineLevel="0" max="10" min="10" style="0" width="46"/>
    <col collapsed="false" customWidth="true" hidden="false" outlineLevel="0" max="11" min="11" style="0" width="42"/>
    <col collapsed="false" customWidth="true" hidden="false" outlineLevel="0" max="13" min="12" style="0" width="11"/>
    <col collapsed="false" customWidth="true" hidden="false" outlineLevel="0" max="14" min="14" style="0" width="40"/>
    <col collapsed="false" customWidth="true" hidden="false" outlineLevel="0" max="15" min="15" style="0" width="44"/>
    <col collapsed="false" customWidth="true" hidden="false" outlineLevel="0" max="17" min="16" style="0" width="11"/>
  </cols>
  <sheetData>
    <row r="1" customFormat="false" ht="17.35" hidden="false" customHeight="false" outlineLevel="0" collapsed="false">
      <c r="A1" s="1" t="s">
        <v>709</v>
      </c>
    </row>
    <row r="2" customFormat="false" ht="15" hidden="false" customHeight="false" outlineLevel="0" collapsed="false">
      <c r="A2" s="2" t="s">
        <v>710</v>
      </c>
    </row>
    <row r="4" customFormat="false" ht="35.05" hidden="false" customHeight="false" outlineLevel="0" collapsed="false">
      <c r="A4" s="3" t="s">
        <v>465</v>
      </c>
      <c r="B4" s="3" t="s">
        <v>201</v>
      </c>
      <c r="C4" s="3" t="s">
        <v>110</v>
      </c>
      <c r="D4" s="3" t="s">
        <v>202</v>
      </c>
      <c r="E4" s="3" t="s">
        <v>711</v>
      </c>
      <c r="F4" s="3" t="s">
        <v>712</v>
      </c>
      <c r="G4" s="3" t="s">
        <v>713</v>
      </c>
      <c r="H4" s="3" t="s">
        <v>714</v>
      </c>
      <c r="I4" s="3" t="s">
        <v>715</v>
      </c>
      <c r="J4" s="3" t="s">
        <v>716</v>
      </c>
      <c r="K4" s="3" t="s">
        <v>717</v>
      </c>
      <c r="L4" s="3" t="s">
        <v>718</v>
      </c>
      <c r="M4" s="3" t="s">
        <v>719</v>
      </c>
      <c r="N4" s="3" t="s">
        <v>720</v>
      </c>
      <c r="O4" s="3" t="s">
        <v>721</v>
      </c>
      <c r="P4" s="3" t="s">
        <v>722</v>
      </c>
      <c r="Q4" s="3" t="s">
        <v>723</v>
      </c>
    </row>
    <row r="5" customFormat="false" ht="35.05" hidden="false" customHeight="false" outlineLevel="0" collapsed="false">
      <c r="A5" s="5" t="s">
        <v>49</v>
      </c>
      <c r="B5" s="4" t="s">
        <v>724</v>
      </c>
      <c r="C5" s="5" t="s">
        <v>725</v>
      </c>
      <c r="D5" s="4" t="s">
        <v>128</v>
      </c>
      <c r="E5" s="5" t="s">
        <v>281</v>
      </c>
      <c r="F5" s="5" t="s">
        <v>726</v>
      </c>
      <c r="G5" s="5" t="s">
        <v>727</v>
      </c>
      <c r="H5" s="5" t="s">
        <v>728</v>
      </c>
      <c r="I5" s="5" t="s">
        <v>729</v>
      </c>
      <c r="J5" s="5" t="s">
        <v>730</v>
      </c>
      <c r="K5" s="5" t="s">
        <v>731</v>
      </c>
      <c r="L5" s="10" t="n">
        <v>0.8</v>
      </c>
      <c r="M5" s="10" t="n">
        <v>0.2</v>
      </c>
      <c r="N5" s="5" t="s">
        <v>732</v>
      </c>
      <c r="O5" s="5" t="s">
        <v>733</v>
      </c>
      <c r="P5" s="28" t="n">
        <v>46692</v>
      </c>
      <c r="Q5" s="28" t="n">
        <v>46843</v>
      </c>
    </row>
    <row r="6" customFormat="false" ht="35.05" hidden="false" customHeight="false" outlineLevel="0" collapsed="false">
      <c r="A6" s="5" t="s">
        <v>49</v>
      </c>
      <c r="B6" s="4" t="s">
        <v>734</v>
      </c>
      <c r="C6" s="5" t="s">
        <v>735</v>
      </c>
      <c r="D6" s="4" t="s">
        <v>137</v>
      </c>
      <c r="E6" s="5" t="s">
        <v>296</v>
      </c>
      <c r="F6" s="5" t="s">
        <v>736</v>
      </c>
      <c r="G6" s="5" t="s">
        <v>737</v>
      </c>
      <c r="H6" s="5" t="s">
        <v>738</v>
      </c>
      <c r="I6" s="5" t="s">
        <v>739</v>
      </c>
      <c r="J6" s="5" t="s">
        <v>740</v>
      </c>
      <c r="K6" s="5" t="s">
        <v>741</v>
      </c>
      <c r="L6" s="10" t="n">
        <v>0.7</v>
      </c>
      <c r="M6" s="10" t="n">
        <v>0.3</v>
      </c>
      <c r="N6" s="5" t="s">
        <v>742</v>
      </c>
      <c r="O6" s="5" t="s">
        <v>743</v>
      </c>
      <c r="P6" s="28" t="n">
        <v>46692</v>
      </c>
      <c r="Q6" s="28" t="n">
        <v>46843</v>
      </c>
    </row>
    <row r="7" customFormat="false" ht="35.05" hidden="false" customHeight="false" outlineLevel="0" collapsed="false">
      <c r="A7" s="5" t="s">
        <v>49</v>
      </c>
      <c r="B7" s="4" t="s">
        <v>744</v>
      </c>
      <c r="C7" s="5" t="s">
        <v>745</v>
      </c>
      <c r="D7" s="4" t="s">
        <v>225</v>
      </c>
      <c r="E7" s="5" t="s">
        <v>296</v>
      </c>
      <c r="F7" s="5" t="s">
        <v>746</v>
      </c>
      <c r="G7" s="5" t="s">
        <v>747</v>
      </c>
      <c r="H7" s="5" t="s">
        <v>748</v>
      </c>
      <c r="I7" s="5" t="s">
        <v>749</v>
      </c>
      <c r="J7" s="5" t="s">
        <v>750</v>
      </c>
      <c r="K7" s="5" t="s">
        <v>751</v>
      </c>
      <c r="L7" s="10" t="n">
        <v>0.85</v>
      </c>
      <c r="M7" s="10" t="n">
        <v>0.15</v>
      </c>
      <c r="N7" s="5" t="s">
        <v>752</v>
      </c>
      <c r="O7" s="5" t="s">
        <v>753</v>
      </c>
      <c r="P7" s="28" t="n">
        <v>46692</v>
      </c>
      <c r="Q7" s="28" t="n">
        <v>46812</v>
      </c>
    </row>
    <row r="8" customFormat="false" ht="35.05" hidden="false" customHeight="false" outlineLevel="0" collapsed="false">
      <c r="A8" s="5" t="s">
        <v>49</v>
      </c>
      <c r="B8" s="4" t="s">
        <v>754</v>
      </c>
      <c r="C8" s="5" t="s">
        <v>755</v>
      </c>
      <c r="D8" s="4" t="s">
        <v>173</v>
      </c>
      <c r="E8" s="5" t="s">
        <v>21</v>
      </c>
      <c r="F8" s="5" t="s">
        <v>756</v>
      </c>
      <c r="G8" s="5" t="s">
        <v>757</v>
      </c>
      <c r="H8" s="5" t="s">
        <v>758</v>
      </c>
      <c r="I8" s="5" t="s">
        <v>759</v>
      </c>
      <c r="J8" s="5" t="s">
        <v>760</v>
      </c>
      <c r="K8" s="5" t="s">
        <v>761</v>
      </c>
      <c r="L8" s="10" t="n">
        <v>0.75</v>
      </c>
      <c r="M8" s="10" t="n">
        <v>0.25</v>
      </c>
      <c r="N8" s="5" t="s">
        <v>762</v>
      </c>
      <c r="O8" s="5" t="s">
        <v>763</v>
      </c>
      <c r="P8" s="28" t="n">
        <v>46844</v>
      </c>
      <c r="Q8" s="28" t="n">
        <v>46934</v>
      </c>
    </row>
    <row r="9" customFormat="false" ht="23.85" hidden="false" customHeight="false" outlineLevel="0" collapsed="false">
      <c r="A9" s="5" t="s">
        <v>92</v>
      </c>
      <c r="B9" s="4" t="s">
        <v>724</v>
      </c>
      <c r="C9" s="5" t="s">
        <v>764</v>
      </c>
      <c r="D9" s="4" t="s">
        <v>137</v>
      </c>
      <c r="E9" s="5" t="s">
        <v>354</v>
      </c>
      <c r="F9" s="5" t="s">
        <v>765</v>
      </c>
      <c r="G9" s="5" t="s">
        <v>766</v>
      </c>
      <c r="H9" s="5" t="s">
        <v>767</v>
      </c>
      <c r="I9" s="5" t="s">
        <v>768</v>
      </c>
      <c r="J9" s="5" t="s">
        <v>769</v>
      </c>
      <c r="K9" s="5" t="s">
        <v>770</v>
      </c>
      <c r="L9" s="10" t="n">
        <v>0.7</v>
      </c>
      <c r="M9" s="10" t="n">
        <v>0.3</v>
      </c>
      <c r="N9" s="5" t="s">
        <v>771</v>
      </c>
      <c r="O9" s="5" t="s">
        <v>772</v>
      </c>
      <c r="P9" s="28" t="n">
        <v>46905</v>
      </c>
      <c r="Q9" s="28" t="n">
        <v>47109</v>
      </c>
    </row>
    <row r="10" customFormat="false" ht="23.85" hidden="false" customHeight="false" outlineLevel="0" collapsed="false">
      <c r="A10" s="5" t="s">
        <v>92</v>
      </c>
      <c r="B10" s="4" t="s">
        <v>734</v>
      </c>
      <c r="C10" s="5" t="s">
        <v>773</v>
      </c>
      <c r="D10" s="4" t="s">
        <v>144</v>
      </c>
      <c r="E10" s="5" t="s">
        <v>363</v>
      </c>
      <c r="F10" s="5" t="s">
        <v>774</v>
      </c>
      <c r="G10" s="5" t="s">
        <v>775</v>
      </c>
      <c r="H10" s="5" t="s">
        <v>776</v>
      </c>
      <c r="I10" s="5" t="s">
        <v>777</v>
      </c>
      <c r="J10" s="5" t="s">
        <v>778</v>
      </c>
      <c r="K10" s="5" t="s">
        <v>779</v>
      </c>
      <c r="L10" s="10" t="n">
        <v>0.8</v>
      </c>
      <c r="M10" s="10" t="n">
        <v>0.2</v>
      </c>
      <c r="N10" s="5" t="s">
        <v>780</v>
      </c>
      <c r="O10" s="5" t="s">
        <v>781</v>
      </c>
      <c r="P10" s="28" t="n">
        <v>46905</v>
      </c>
      <c r="Q10" s="28" t="n">
        <v>47109</v>
      </c>
    </row>
    <row r="11" customFormat="false" ht="23.85" hidden="false" customHeight="false" outlineLevel="0" collapsed="false">
      <c r="A11" s="5" t="s">
        <v>92</v>
      </c>
      <c r="B11" s="4" t="s">
        <v>754</v>
      </c>
      <c r="C11" s="5" t="s">
        <v>782</v>
      </c>
      <c r="D11" s="4" t="s">
        <v>225</v>
      </c>
      <c r="E11" s="5" t="s">
        <v>367</v>
      </c>
      <c r="F11" s="5" t="s">
        <v>783</v>
      </c>
      <c r="G11" s="5" t="s">
        <v>784</v>
      </c>
      <c r="H11" s="5" t="s">
        <v>785</v>
      </c>
      <c r="I11" s="5" t="s">
        <v>786</v>
      </c>
      <c r="J11" s="5" t="s">
        <v>787</v>
      </c>
      <c r="K11" s="5" t="s">
        <v>788</v>
      </c>
      <c r="L11" s="10" t="n">
        <v>0.8</v>
      </c>
      <c r="M11" s="10" t="n">
        <v>0.2</v>
      </c>
      <c r="N11" s="5" t="s">
        <v>789</v>
      </c>
      <c r="O11" s="5" t="s">
        <v>790</v>
      </c>
      <c r="P11" s="28" t="n">
        <v>46905</v>
      </c>
      <c r="Q11" s="28" t="n">
        <v>47025</v>
      </c>
    </row>
    <row r="12" customFormat="false" ht="35.05" hidden="false" customHeight="false" outlineLevel="0" collapsed="false">
      <c r="A12" s="5" t="s">
        <v>92</v>
      </c>
      <c r="B12" s="4" t="s">
        <v>744</v>
      </c>
      <c r="C12" s="5" t="s">
        <v>791</v>
      </c>
      <c r="D12" s="4" t="s">
        <v>160</v>
      </c>
      <c r="E12" s="5" t="s">
        <v>376</v>
      </c>
      <c r="F12" s="5" t="s">
        <v>792</v>
      </c>
      <c r="G12" s="5" t="s">
        <v>793</v>
      </c>
      <c r="H12" s="5" t="s">
        <v>794</v>
      </c>
      <c r="I12" s="5" t="s">
        <v>795</v>
      </c>
      <c r="J12" s="5" t="s">
        <v>796</v>
      </c>
      <c r="K12" s="5" t="s">
        <v>797</v>
      </c>
      <c r="L12" s="10" t="n">
        <v>0.8</v>
      </c>
      <c r="M12" s="10" t="n">
        <v>0.2</v>
      </c>
      <c r="N12" s="5" t="s">
        <v>798</v>
      </c>
      <c r="O12" s="5" t="s">
        <v>799</v>
      </c>
      <c r="P12" s="28" t="n">
        <v>46905</v>
      </c>
      <c r="Q12" s="28" t="n">
        <v>47109</v>
      </c>
    </row>
    <row r="13" customFormat="false" ht="23.85" hidden="false" customHeight="false" outlineLevel="0" collapsed="false">
      <c r="A13" s="5" t="s">
        <v>92</v>
      </c>
      <c r="B13" s="4" t="s">
        <v>800</v>
      </c>
      <c r="C13" s="5" t="s">
        <v>801</v>
      </c>
      <c r="D13" s="4" t="s">
        <v>173</v>
      </c>
      <c r="E13" s="5" t="s">
        <v>21</v>
      </c>
      <c r="F13" s="5" t="s">
        <v>802</v>
      </c>
      <c r="G13" s="5" t="s">
        <v>803</v>
      </c>
      <c r="H13" s="5" t="s">
        <v>804</v>
      </c>
      <c r="I13" s="5" t="s">
        <v>805</v>
      </c>
      <c r="J13" s="5" t="s">
        <v>806</v>
      </c>
      <c r="K13" s="5" t="s">
        <v>807</v>
      </c>
      <c r="L13" s="10" t="n">
        <v>0.75</v>
      </c>
      <c r="M13" s="10" t="n">
        <v>0.25</v>
      </c>
      <c r="N13" s="5" t="s">
        <v>762</v>
      </c>
      <c r="O13" s="5" t="s">
        <v>808</v>
      </c>
      <c r="P13" s="28" t="n">
        <v>46905</v>
      </c>
      <c r="Q13" s="28" t="n">
        <v>47109</v>
      </c>
    </row>
    <row r="14" customFormat="false" ht="35.05" hidden="false" customHeight="false" outlineLevel="0" collapsed="false">
      <c r="A14" s="5" t="s">
        <v>92</v>
      </c>
      <c r="B14" s="4" t="s">
        <v>809</v>
      </c>
      <c r="C14" s="5" t="s">
        <v>810</v>
      </c>
      <c r="D14" s="4" t="s">
        <v>192</v>
      </c>
      <c r="E14" s="5" t="s">
        <v>403</v>
      </c>
      <c r="F14" s="5" t="s">
        <v>811</v>
      </c>
      <c r="G14" s="5" t="s">
        <v>812</v>
      </c>
      <c r="H14" s="5" t="s">
        <v>813</v>
      </c>
      <c r="I14" s="5" t="s">
        <v>814</v>
      </c>
      <c r="J14" s="5" t="s">
        <v>815</v>
      </c>
      <c r="K14" s="5" t="s">
        <v>816</v>
      </c>
      <c r="L14" s="10" t="n">
        <v>0.8</v>
      </c>
      <c r="M14" s="10" t="n">
        <v>0.2</v>
      </c>
      <c r="N14" s="5" t="s">
        <v>817</v>
      </c>
      <c r="O14" s="5" t="s">
        <v>818</v>
      </c>
      <c r="P14" s="28" t="n">
        <v>46905</v>
      </c>
      <c r="Q14" s="28" t="n">
        <v>47109</v>
      </c>
    </row>
    <row r="15" customFormat="false" ht="35.05" hidden="false" customHeight="false" outlineLevel="0" collapsed="false">
      <c r="A15" s="5" t="s">
        <v>530</v>
      </c>
      <c r="B15" s="4" t="s">
        <v>724</v>
      </c>
      <c r="C15" s="5" t="s">
        <v>819</v>
      </c>
      <c r="D15" s="4" t="s">
        <v>137</v>
      </c>
      <c r="E15" s="5" t="s">
        <v>423</v>
      </c>
      <c r="F15" s="5" t="s">
        <v>820</v>
      </c>
      <c r="G15" s="5" t="s">
        <v>821</v>
      </c>
      <c r="H15" s="5" t="s">
        <v>822</v>
      </c>
      <c r="I15" s="5" t="s">
        <v>823</v>
      </c>
      <c r="J15" s="5" t="s">
        <v>824</v>
      </c>
      <c r="K15" s="5" t="s">
        <v>825</v>
      </c>
      <c r="L15" s="10" t="n">
        <v>0.7</v>
      </c>
      <c r="M15" s="10" t="n">
        <v>0.3</v>
      </c>
      <c r="N15" s="5" t="s">
        <v>826</v>
      </c>
      <c r="O15" s="5" t="s">
        <v>772</v>
      </c>
      <c r="P15" s="28" t="n">
        <v>46844</v>
      </c>
      <c r="Q15" s="28" t="n">
        <v>47026</v>
      </c>
    </row>
    <row r="16" customFormat="false" ht="35.05" hidden="false" customHeight="false" outlineLevel="0" collapsed="false">
      <c r="A16" s="5" t="s">
        <v>530</v>
      </c>
      <c r="B16" s="4" t="s">
        <v>664</v>
      </c>
      <c r="C16" s="5" t="s">
        <v>827</v>
      </c>
      <c r="D16" s="4" t="s">
        <v>160</v>
      </c>
      <c r="E16" s="5" t="s">
        <v>535</v>
      </c>
      <c r="F16" s="5" t="s">
        <v>828</v>
      </c>
      <c r="G16" s="5" t="s">
        <v>829</v>
      </c>
      <c r="H16" s="5" t="s">
        <v>830</v>
      </c>
      <c r="I16" s="5" t="s">
        <v>831</v>
      </c>
      <c r="J16" s="5" t="s">
        <v>832</v>
      </c>
      <c r="K16" s="5" t="s">
        <v>833</v>
      </c>
      <c r="L16" s="10" t="n">
        <v>0.8</v>
      </c>
      <c r="M16" s="10" t="n">
        <v>0.2</v>
      </c>
      <c r="N16" s="5" t="s">
        <v>834</v>
      </c>
      <c r="O16" s="5" t="s">
        <v>835</v>
      </c>
      <c r="P16" s="28" t="n">
        <v>46844</v>
      </c>
      <c r="Q16" s="28" t="n">
        <v>47026</v>
      </c>
    </row>
    <row r="17" customFormat="false" ht="35.05" hidden="false" customHeight="false" outlineLevel="0" collapsed="false">
      <c r="A17" s="5" t="s">
        <v>530</v>
      </c>
      <c r="B17" s="4" t="s">
        <v>744</v>
      </c>
      <c r="C17" s="5" t="s">
        <v>836</v>
      </c>
      <c r="D17" s="4" t="s">
        <v>173</v>
      </c>
      <c r="E17" s="5" t="s">
        <v>447</v>
      </c>
      <c r="F17" s="5" t="s">
        <v>837</v>
      </c>
      <c r="G17" s="5" t="s">
        <v>838</v>
      </c>
      <c r="H17" s="5" t="s">
        <v>839</v>
      </c>
      <c r="I17" s="5" t="s">
        <v>840</v>
      </c>
      <c r="J17" s="5" t="s">
        <v>841</v>
      </c>
      <c r="K17" s="5" t="s">
        <v>842</v>
      </c>
      <c r="L17" s="10" t="n">
        <v>0.75</v>
      </c>
      <c r="M17" s="10" t="n">
        <v>0.25</v>
      </c>
      <c r="N17" s="5" t="s">
        <v>762</v>
      </c>
      <c r="O17" s="5" t="s">
        <v>763</v>
      </c>
      <c r="P17" s="28" t="n">
        <v>46844</v>
      </c>
      <c r="Q17" s="28" t="n">
        <v>47026</v>
      </c>
    </row>
    <row r="18" customFormat="false" ht="35.05" hidden="false" customHeight="false" outlineLevel="0" collapsed="false">
      <c r="A18" s="5" t="s">
        <v>530</v>
      </c>
      <c r="B18" s="4" t="s">
        <v>734</v>
      </c>
      <c r="C18" s="5" t="s">
        <v>843</v>
      </c>
      <c r="D18" s="4" t="s">
        <v>192</v>
      </c>
      <c r="E18" s="5" t="s">
        <v>459</v>
      </c>
      <c r="F18" s="5" t="s">
        <v>844</v>
      </c>
      <c r="G18" s="5" t="s">
        <v>845</v>
      </c>
      <c r="H18" s="5" t="s">
        <v>846</v>
      </c>
      <c r="I18" s="5" t="s">
        <v>847</v>
      </c>
      <c r="J18" s="5" t="s">
        <v>848</v>
      </c>
      <c r="K18" s="5" t="s">
        <v>849</v>
      </c>
      <c r="L18" s="10" t="n">
        <v>0.75</v>
      </c>
      <c r="M18" s="10" t="n">
        <v>0.25</v>
      </c>
      <c r="N18" s="5" t="s">
        <v>850</v>
      </c>
      <c r="O18" s="5" t="s">
        <v>851</v>
      </c>
      <c r="P18" s="28" t="n">
        <v>46844</v>
      </c>
      <c r="Q18" s="28" t="n">
        <v>47026</v>
      </c>
    </row>
  </sheetData>
  <autoFilter ref="A4:Q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2026-10-30T13:15:07Z</dcterms:created>
  <dc:creator>openpyxl</dc:creator>
  <dc:description/>
  <dc:language>en-US</dc:language>
  <cp:lastModifiedBy/>
  <dcterms:modified xsi:type="dcterms:W3CDTF">2026-10-30T13:15:08Z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