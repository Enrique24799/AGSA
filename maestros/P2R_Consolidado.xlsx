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ases" sheetId="1" state="visible" r:id="rId3"/>
    <sheet name="Personas" sheetId="2" state="visible" r:id="rId4"/>
    <sheet name="Dedicación" sheetId="3" state="visible" r:id="rId5"/>
    <sheet name="Hallazgos" sheetId="4" state="visible" r:id="rId6"/>
    <sheet name="Palancas" sheetId="5" state="visible" r:id="rId7"/>
  </sheets>
  <definedNames>
    <definedName function="false" hidden="true" localSheetId="2" name="_xlnm._FilterDatabase" vbProcedure="false">Dedicación!$A$4:$F$12</definedName>
    <definedName function="false" hidden="true" localSheetId="3" name="_xlnm._FilterDatabase" vbProcedure="false">Hallazgos!$A$4:$M$15</definedName>
    <definedName function="false" hidden="true" localSheetId="4" name="_xlnm._FilterDatabase" vbProcedure="false">Palancas!$A$4:$M$12</definedName>
    <definedName function="false" hidden="true" localSheetId="1" name="_xlnm._FilterDatabase" vbProcedure="false">Personas!$A$4:$N$18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<sst xmlns="http://schemas.openxmlformats.org/spreadsheetml/2006/main" count="444" uniqueCount="224">
  <si>
    <t xml:space="preserve">Esqueleto estándar · P2R · Plan to Release</t>
  </si>
  <si>
    <t xml:space="preserve">Transcrito de la aplicación el 29/10/2026. Repositorio: sin repositorio · 8 palancas lo usan · 0 con uno propio. Variantes de P2R: 0 (todas las celdas usan el esqueleto estándar).</t>
  </si>
  <si>
    <t xml:space="preserve">Orden</t>
  </si>
  <si>
    <t xml:space="preserve">Fase</t>
  </si>
  <si>
    <t xml:space="preserve">Tramo</t>
  </si>
  <si>
    <t xml:space="preserve">Descripción (de → a)</t>
  </si>
  <si>
    <t xml:space="preserve">Opcional</t>
  </si>
  <si>
    <t xml:space="preserve">Áreas de negocio</t>
  </si>
  <si>
    <t xml:space="preserve">Actividades</t>
  </si>
  <si>
    <t xml:space="preserve">Hallazgos del catálogo</t>
  </si>
  <si>
    <t xml:space="preserve">Palancas del catálogo</t>
  </si>
  <si>
    <t xml:space="preserve">Demanda y previsión (Forecast to Plan)</t>
  </si>
  <si>
    <t xml:space="preserve">Forecast to Plan</t>
  </si>
  <si>
    <t xml:space="preserve">De Histórico y Señal de Mercado --&gt; Demanda Consensuada</t>
  </si>
  <si>
    <t xml:space="preserve">—</t>
  </si>
  <si>
    <t xml:space="preserve">todas</t>
  </si>
  <si>
    <t xml:space="preserve">S&amp;OP y Plan Maestro (Forecast to Plan)</t>
  </si>
  <si>
    <t xml:space="preserve">De Demanda Global --&gt; Equilibrio Demanda, Capacidad y Recursos</t>
  </si>
  <si>
    <t xml:space="preserve">Necesidades de Fabricación y MRP</t>
  </si>
  <si>
    <t xml:space="preserve">Plan to Produce</t>
  </si>
  <si>
    <t xml:space="preserve">De Plan Maestro --&gt; Órdenes Previsionales de Fabricación y Solicitudes de Compra</t>
  </si>
  <si>
    <t xml:space="preserve">Programación</t>
  </si>
  <si>
    <t xml:space="preserve">De Orden Previsional --&gt; Secuencia por Línea y Turno</t>
  </si>
  <si>
    <t xml:space="preserve">Liberación</t>
  </si>
  <si>
    <t xml:space="preserve">De Orden Programada --&gt; Orden Liberada Ejecutable</t>
  </si>
  <si>
    <t xml:space="preserve">Seguimiento y Control</t>
  </si>
  <si>
    <t xml:space="preserve">De Plan Ejecutado --&gt; Desviaciones Explicadas con Acción</t>
  </si>
  <si>
    <t xml:space="preserve">Total</t>
  </si>
  <si>
    <t xml:space="preserve">Personas por empresa</t>
  </si>
  <si>
    <t xml:space="preserve">Transcrito de la aplicación el 29/10/2026 (área de negocio Packaging, 14 personas). Coste anual estimado. «Σ dedicación» es el dato de la aplicación; «Dedicación detallada» suma la hoja Dedicación.</t>
  </si>
  <si>
    <t xml:space="preserve">Persona</t>
  </si>
  <si>
    <t xml:space="preserve">ID</t>
  </si>
  <si>
    <t xml:space="preserve">Email</t>
  </si>
  <si>
    <t xml:space="preserve">Categoría</t>
  </si>
  <si>
    <t xml:space="preserve">Roles</t>
  </si>
  <si>
    <t xml:space="preserve">Censo en</t>
  </si>
  <si>
    <t xml:space="preserve">Área de negocio</t>
  </si>
  <si>
    <t xml:space="preserve">Jornada h/año</t>
  </si>
  <si>
    <t xml:space="preserve">Coste anual (k€)</t>
  </si>
  <si>
    <t xml:space="preserve">Σ Dedicación</t>
  </si>
  <si>
    <t xml:space="preserve">Coste imputado (k€)</t>
  </si>
  <si>
    <t xml:space="preserve">Dedicación detallada</t>
  </si>
  <si>
    <t xml:space="preserve">Sin detallar</t>
  </si>
  <si>
    <t xml:space="preserve">Licencias</t>
  </si>
  <si>
    <t xml:space="preserve">Victoriano Pérez Carrasco</t>
  </si>
  <si>
    <t xml:space="preserve">ID-20</t>
  </si>
  <si>
    <t xml:space="preserve">vperez@clgrupoindustrial.com</t>
  </si>
  <si>
    <t xml:space="preserve">Técnico especialista</t>
  </si>
  <si>
    <t xml:space="preserve">Planificación · Planificador de la producción</t>
  </si>
  <si>
    <t xml:space="preserve">Ondupet</t>
  </si>
  <si>
    <t xml:space="preserve">Packaging</t>
  </si>
  <si>
    <t xml:space="preserve">sin licencias</t>
  </si>
  <si>
    <t xml:space="preserve">Bárbara Ayuste Tejera</t>
  </si>
  <si>
    <t xml:space="preserve">ID-22</t>
  </si>
  <si>
    <t xml:space="preserve">bayuste@ondupet.es</t>
  </si>
  <si>
    <t xml:space="preserve">Administrativo</t>
  </si>
  <si>
    <t xml:space="preserve">Compras · Category Manager; Compras · Tramitadores de compras</t>
  </si>
  <si>
    <t xml:space="preserve">SAP ECC · usuario</t>
  </si>
  <si>
    <t xml:space="preserve">Manuel Jesús Trinidad Montero</t>
  </si>
  <si>
    <t xml:space="preserve">ID-24</t>
  </si>
  <si>
    <t xml:space="preserve">mjtrinidad@ondupet.es</t>
  </si>
  <si>
    <t xml:space="preserve">Responsable / mando intermedio</t>
  </si>
  <si>
    <t xml:space="preserve">Comercial · Comercial con potestad</t>
  </si>
  <si>
    <t xml:space="preserve">Monica Gordillo Guerrero</t>
  </si>
  <si>
    <t xml:space="preserve">ID-21</t>
  </si>
  <si>
    <t xml:space="preserve">mgordillo@ondupet.es</t>
  </si>
  <si>
    <t xml:space="preserve">Comercial · Comercial con potestad; Comercial · Administración de ventas</t>
  </si>
  <si>
    <t xml:space="preserve">Antonio Nogales Carrión</t>
  </si>
  <si>
    <t xml:space="preserve">ID-23</t>
  </si>
  <si>
    <t xml:space="preserve">anogales@ondupet.es</t>
  </si>
  <si>
    <t xml:space="preserve">Miguel Ángel Rosado Martínez</t>
  </si>
  <si>
    <t xml:space="preserve">sin ID</t>
  </si>
  <si>
    <t xml:space="preserve">planificacion@ondupack.com</t>
  </si>
  <si>
    <t xml:space="preserve">Planificación · Planificador de la producción; Logística · Responsable Expediciones</t>
  </si>
  <si>
    <t xml:space="preserve">Ondupack</t>
  </si>
  <si>
    <t xml:space="preserve">Cartón</t>
  </si>
  <si>
    <t xml:space="preserve">Tomás Buenavida Santiago</t>
  </si>
  <si>
    <t xml:space="preserve">tbuenavida@ondupack.com</t>
  </si>
  <si>
    <t xml:space="preserve">Maria Teresa Espinosa Paredes</t>
  </si>
  <si>
    <t xml:space="preserve">tere_att@ondupack.com</t>
  </si>
  <si>
    <t xml:space="preserve">Comercial</t>
  </si>
  <si>
    <t xml:space="preserve">José María Baquero Jaen</t>
  </si>
  <si>
    <t xml:space="preserve">jbaquero@ondupack.com</t>
  </si>
  <si>
    <t xml:space="preserve">Producción · Responsable Producción</t>
  </si>
  <si>
    <t xml:space="preserve">Angélica Lemus Fernández</t>
  </si>
  <si>
    <t xml:space="preserve">alemus@ondupack.com</t>
  </si>
  <si>
    <t xml:space="preserve">Compras · Category Manager</t>
  </si>
  <si>
    <t xml:space="preserve">Karim Karach Boujtat</t>
  </si>
  <si>
    <t xml:space="preserve">kkarach@ondupack.com</t>
  </si>
  <si>
    <t xml:space="preserve">Navalmoral</t>
  </si>
  <si>
    <t xml:space="preserve">Joan Carles Girones Campaña</t>
  </si>
  <si>
    <t xml:space="preserve">jc.girones@matiasgomatomas.com</t>
  </si>
  <si>
    <t xml:space="preserve">MGT</t>
  </si>
  <si>
    <t xml:space="preserve">Papel</t>
  </si>
  <si>
    <t xml:space="preserve">Marta Boyo Martinez</t>
  </si>
  <si>
    <t xml:space="preserve">m.boyo@matiasgomatomas.com</t>
  </si>
  <si>
    <t xml:space="preserve">Albert Fontanet Lopez</t>
  </si>
  <si>
    <t xml:space="preserve">a.fontanet@matiasgomatomas.com</t>
  </si>
  <si>
    <t xml:space="preserve">Σ 14 personas</t>
  </si>
  <si>
    <t xml:space="preserve">Dedicación por celda y fase</t>
  </si>
  <si>
    <t xml:space="preserve">Una fila por persona, celda (proceso × empresa) y fase. Por ahora solo está el detalle de P2R × Ondupet.</t>
  </si>
  <si>
    <t xml:space="preserve">Celda</t>
  </si>
  <si>
    <t xml:space="preserve">% dedicación</t>
  </si>
  <si>
    <t xml:space="preserve">P2R × Ondupet</t>
  </si>
  <si>
    <t xml:space="preserve">Resumen por celda</t>
  </si>
  <si>
    <t xml:space="preserve">Personas</t>
  </si>
  <si>
    <t xml:space="preserve">P2R × Ondupack</t>
  </si>
  <si>
    <t xml:space="preserve">P2R × MGT</t>
  </si>
  <si>
    <t xml:space="preserve">Catálogo de tipos de hallazgo · P2R</t>
  </si>
  <si>
    <t xml:space="preserve">Transcrito de la aplicación el 29/10/2026 (11 tipos). Descripción y métrica del maestro. «Empresas» se calcula con las columnas de cada empresa.</t>
  </si>
  <si>
    <t xml:space="preserve">Nombre</t>
  </si>
  <si>
    <t xml:space="preserve">Descripción</t>
  </si>
  <si>
    <t xml:space="preserve">Familia</t>
  </si>
  <si>
    <t xml:space="preserve">Naturaleza</t>
  </si>
  <si>
    <t xml:space="preserve">Métrica (volumen expuesto)</t>
  </si>
  <si>
    <t xml:space="preserve">Se cura con</t>
  </si>
  <si>
    <t xml:space="preserve">Empresas</t>
  </si>
  <si>
    <t xml:space="preserve">Caza inversa</t>
  </si>
  <si>
    <t xml:space="preserve">HT-P2R-01</t>
  </si>
  <si>
    <t xml:space="preserve">Demanda sin previsión fiable</t>
  </si>
  <si>
    <t xml:space="preserve">No hay previsión, o la que hay no se cierra, no se consensúa ni se mide: el plan trabaja con una demanda que cambia o que no se conoce, y la demanda perdida no se registra.</t>
  </si>
  <si>
    <t xml:space="preserve">Oportunidad</t>
  </si>
  <si>
    <t xml:space="preserve">€ de demanda mensual planificada sin previsión cerrada y consensuada</t>
  </si>
  <si>
    <t xml:space="preserve">P2R-01</t>
  </si>
  <si>
    <t xml:space="preserve">✓</t>
  </si>
  <si>
    <t xml:space="preserve">HT-P2R-03</t>
  </si>
  <si>
    <t xml:space="preserve">Demanda y capacidad sin equilibrar</t>
  </si>
  <si>
    <t xml:space="preserve">Sin S&amp;OP, la capacidad (turnos, reservas, intercompany) se decide por intuición y a mano, y el desequilibrio se arregla con urgencias.</t>
  </si>
  <si>
    <t xml:space="preserve">Ineficiencia</t>
  </si>
  <si>
    <t xml:space="preserve">Transformación</t>
  </si>
  <si>
    <t xml:space="preserve">Horas de línea y turnos no ajustados a la carga / mes</t>
  </si>
  <si>
    <t xml:space="preserve">P2R-02</t>
  </si>
  <si>
    <t xml:space="preserve">HT-P2R-04</t>
  </si>
  <si>
    <t xml:space="preserve">Stock sin política clara</t>
  </si>
  <si>
    <t xml:space="preserve">Sin segmentación ni estrategia por material, sobra stock de unos y falta de otros, en producto terminado y en materias primas.</t>
  </si>
  <si>
    <t xml:space="preserve">Circulante</t>
  </si>
  <si>
    <t xml:space="preserve">€ de stock fuera de política (exceso y obsoleto)</t>
  </si>
  <si>
    <t xml:space="preserve">P2R-03</t>
  </si>
  <si>
    <t xml:space="preserve">HT-P2R-05</t>
  </si>
  <si>
    <t xml:space="preserve">Fecha al cliente no fiable</t>
  </si>
  <si>
    <t xml:space="preserve">La fecha se promete sin comprobar disponibilidad, no se renegocia cuando no se llega y hay roturas en lo que debería estar en stock.</t>
  </si>
  <si>
    <t xml:space="preserve">€ de pedidos / mes entregados tarde o no servidos</t>
  </si>
  <si>
    <t xml:space="preserve">P2R-03, P2R-04</t>
  </si>
  <si>
    <t xml:space="preserve">HT-P2R-06</t>
  </si>
  <si>
    <t xml:space="preserve">Faltas tardías y gestionadas a mano</t>
  </si>
  <si>
    <t xml:space="preserve">El MRP corre con poca frecuencia, las faltas se revisan todas a mano y acaban en compras y transportes urgentes.</t>
  </si>
  <si>
    <t xml:space="preserve">Fuga de P&amp;L</t>
  </si>
  <si>
    <t xml:space="preserve">€ de sobrecoste urgente por faltas / mes</t>
  </si>
  <si>
    <t xml:space="preserve">P2R-05</t>
  </si>
  <si>
    <t xml:space="preserve">HT-P2R-07</t>
  </si>
  <si>
    <t xml:space="preserve">Necesidades poco fiables</t>
  </si>
  <si>
    <t xml:space="preserve">Parámetros desactualizados, producto terminado y semielaborado sin sincronizar y agrupación de lotes a mano.</t>
  </si>
  <si>
    <t xml:space="preserve">€ de stock de semielaborado y materia prima por encima de la necesidad</t>
  </si>
  <si>
    <t xml:space="preserve">HT-P2R-08</t>
  </si>
  <si>
    <t xml:space="preserve">Secuencia sin optimizar</t>
  </si>
  <si>
    <t xml:space="preserve">Se secuencia a mano, sin capacidad finita y con la ruta por defecto.</t>
  </si>
  <si>
    <t xml:space="preserve">Horas de cambio y de sobrecarga / semana</t>
  </si>
  <si>
    <t xml:space="preserve">P2R-06</t>
  </si>
  <si>
    <t xml:space="preserve">HT-P2R-09</t>
  </si>
  <si>
    <t xml:space="preserve">Programa inestable</t>
  </si>
  <si>
    <t xml:space="preserve">Sin zona congelada ni reglas de prioridad, las urgencias obligan a resecuenciar.</t>
  </si>
  <si>
    <t xml:space="preserve">Resecuenciaciones / semana</t>
  </si>
  <si>
    <t xml:space="preserve">HT-P2R-10</t>
  </si>
  <si>
    <t xml:space="preserve">Liberación sin control</t>
  </si>
  <si>
    <t xml:space="preserve">Se libera sin confirmar material, utillaje y aprovisionamiento a línea, y sin ventana de liberación.</t>
  </si>
  <si>
    <t xml:space="preserve">Arranques fallidos / mes</t>
  </si>
  <si>
    <t xml:space="preserve">P2R-07</t>
  </si>
  <si>
    <t xml:space="preserve">HT-P2R-11</t>
  </si>
  <si>
    <t xml:space="preserve">Servicio sin control</t>
  </si>
  <si>
    <t xml:space="preserve">No hay KPIs formales de servicio ni de adherencia al programa, y los atrasos se ven cuando ya han ocurrido.</t>
  </si>
  <si>
    <t xml:space="preserve">€ de pedidos atrasados sin aviso / mes</t>
  </si>
  <si>
    <t xml:space="preserve">P2R-08</t>
  </si>
  <si>
    <t xml:space="preserve">HT-P2R-12</t>
  </si>
  <si>
    <t xml:space="preserve">Ciclo sin aprendizaje</t>
  </si>
  <si>
    <t xml:space="preserve">Las desviaciones no tienen análisis de causa ni vuelven a la previsión ni a los parámetros, y el seguimiento se hace a mano.</t>
  </si>
  <si>
    <t xml:space="preserve">Desviaciones repetidas sin causa / mes</t>
  </si>
  <si>
    <t xml:space="preserve">Catálogo de palancas · P2R</t>
  </si>
  <si>
    <t xml:space="preserve">Transcrito de la aplicación el 29/10/2026 (8 palancas). €/año de referencia: — · confianza: por cuantificar. «Qué cambia» y KPI del maestro.</t>
  </si>
  <si>
    <t xml:space="preserve">Código</t>
  </si>
  <si>
    <t xml:space="preserve">Palanca</t>
  </si>
  <si>
    <t xml:space="preserve">Qué cambia</t>
  </si>
  <si>
    <t xml:space="preserve">KPI</t>
  </si>
  <si>
    <t xml:space="preserve">Base expuesta</t>
  </si>
  <si>
    <t xml:space="preserve">Fase as-is</t>
  </si>
  <si>
    <t xml:space="preserve">€/año ref.</t>
  </si>
  <si>
    <t xml:space="preserve">Confianza</t>
  </si>
  <si>
    <t xml:space="preserve">Cura tipos</t>
  </si>
  <si>
    <t xml:space="preserve">Aplicada en</t>
  </si>
  <si>
    <t xml:space="preserve">Gestión de la demanda</t>
  </si>
  <si>
    <t xml:space="preserve">Hay previsión, al menos de la demanda repetitiva; se cierra en fecha, se consensúa cada mes entre Comercial y Planificación, cubre el horizonte de las decisiones y se mide y corrige.</t>
  </si>
  <si>
    <t xml:space="preserve">Precisión y sesgo por familia · cambios tras el cierre</t>
  </si>
  <si>
    <t xml:space="preserve">€ de previsión mensual cambiada tras el cierre o sin consensuar · Familias fuera de umbral sin acción / mes</t>
  </si>
  <si>
    <t xml:space="preserve">Por cuantificar</t>
  </si>
  <si>
    <t xml:space="preserve">S&amp;OP y plan de capacidad</t>
  </si>
  <si>
    <t xml:space="preserve">Demanda y capacidad se equilibran cada mes, con datos y con dirección: turnos, reservas de capacidad e intercompany se deciden con escenarios, no con urgencias.</t>
  </si>
  <si>
    <t xml:space="preserve">Ocupación real frente a planificada · horas extra no planificadas</t>
  </si>
  <si>
    <t xml:space="preserve">Política de inventario por segmento</t>
  </si>
  <si>
    <t xml:space="preserve">Cada material, de producto terminado y de materia prima, tiene segmento, estrategia y stock objetivo, revisados periódicamente.</t>
  </si>
  <si>
    <t xml:space="preserve">€ de stock fuera de política · roturas</t>
  </si>
  <si>
    <t xml:space="preserve">€ de stock fuera de política (exceso y obsoleto) · € de pedidos / mes entregados tarde o no servidos</t>
  </si>
  <si>
    <t xml:space="preserve">HT-P2R-04, HT-P2R-05 (×2)</t>
  </si>
  <si>
    <t xml:space="preserve">P2R-04</t>
  </si>
  <si>
    <t xml:space="preserve">Promesa de fecha fiable</t>
  </si>
  <si>
    <t xml:space="preserve">La fecha al cliente se confirma con disponibilidad real y se renegocia en cuanto se sabe que no se llega.</t>
  </si>
  <si>
    <t xml:space="preserve">OTIF a fecha confirmada</t>
  </si>
  <si>
    <t xml:space="preserve">HT-P2R-05 (×2)</t>
  </si>
  <si>
    <t xml:space="preserve">Planificación de materiales por excepción</t>
  </si>
  <si>
    <t xml:space="preserve">Las necesidades se calculan a tiempo, con parámetros vigentes y en todos los niveles, y el planificador solo atiende las excepciones críticas.</t>
  </si>
  <si>
    <t xml:space="preserve">€ urgentes por faltas · faltas detectadas a tiempo</t>
  </si>
  <si>
    <t xml:space="preserve">€ de sobrecoste urgente por faltas / mes · € de stock de semielaborado y materia prima por encima de la necesidad</t>
  </si>
  <si>
    <t xml:space="preserve">HT-P2R-06, HT-P2R-07</t>
  </si>
  <si>
    <t xml:space="preserve">Programación estable y optimizada</t>
  </si>
  <si>
    <t xml:space="preserve">El programa respeta la capacidad, minimiza los cambios y solo se modifica dentro de reglas: zona congelada y prioridades.</t>
  </si>
  <si>
    <t xml:space="preserve">Horas de cambio · adherencia al programa</t>
  </si>
  <si>
    <t xml:space="preserve">Horas de cambio y de sobrecarga / semana · Resecuenciaciones / semana</t>
  </si>
  <si>
    <t xml:space="preserve">HT-P2R-08, HT-P2R-09</t>
  </si>
  <si>
    <t xml:space="preserve">Liberación controlada</t>
  </si>
  <si>
    <t xml:space="preserve">Una orden solo se libera con material, utillaje y aprovisionamiento a línea confirmados, y dentro de su ventana.</t>
  </si>
  <si>
    <t xml:space="preserve">Arranques fallidos</t>
  </si>
  <si>
    <t xml:space="preserve">Control del servicio y mejora continua</t>
  </si>
  <si>
    <t xml:space="preserve">Servicio y adherencia se miden solos, los riesgos se avisan antes y cada desviación tiene causa y una acción que vuelve a la planificación.</t>
  </si>
  <si>
    <t xml:space="preserve">OTIF · desviaciones con causa</t>
  </si>
  <si>
    <t xml:space="preserve">€ de pedidos atrasados sin aviso / mes · Desviaciones repetidas sin causa / mes</t>
  </si>
  <si>
    <t xml:space="preserve">HT-P2R-11, HT-P2R-12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</si>
</sst>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#,##0"/>
    <numFmt numFmtId="167" formatCode="#,##0.0"/>
    <numFmt numFmtId="168" formatCode="0%"/>
    <numFmt numFmtId="169" formatCode="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263A"/>
      <name val="Arial"/>
      <family val="0"/>
      <charset val="1"/>
    </font>
    <font>
      <i val="true"/>
      <sz val="9"/>
      <color rgb="FF5B6B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263A"/>
      <name val="Arial"/>
      <family val="0"/>
      <charset val="1"/>
    </font>
    <font>
      <b val="true"/>
      <sz val="10"/>
      <color rgb="FF00263A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0263A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7DFE5"/>
      </left>
      <right style="thin">
        <color rgb="FFD7DFE5"/>
      </right>
      <top style="thin">
        <color rgb="FFD7DFE5"/>
      </top>
      <bottom style="thin">
        <color rgb="FFD7DF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0026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CE4E4"/>
          <bgColor rgb="FF000000"/>
        </patternFill>
      </fill>
    </dxf>
    <dxf>
      <fill>
        <patternFill patternType="solid">
          <fgColor rgb="FFB42318"/>
          <bgColor rgb="FF000000"/>
        </patternFill>
      </fill>
    </dxf>
    <dxf>
      <font>
        <name val="Arial"/>
        <charset val="1"/>
        <family val="0"/>
        <b val="1"/>
        <color rgb="FFB42318"/>
      </font>
      <fill>
        <patternFill>
          <bgColor rgb="FFFCE4E4"/>
        </patternFill>
      </fill>
    </dxf>
    <dxf>
      <fill>
        <patternFill patternType="solid">
          <fgColor rgb="FFFFF1D6"/>
          <bgColor rgb="FF000000"/>
        </patternFill>
      </fill>
    </dxf>
    <dxf>
      <fill>
        <patternFill>
          <bgColor rgb="FFFFF1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1D6"/>
      <rgbColor rgb="FFCCFFFF"/>
      <rgbColor rgb="FF660066"/>
      <rgbColor rgb="FFFF8080"/>
      <rgbColor rgb="FF0066CC"/>
      <rgbColor rgb="FFD7DF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5B6B78"/>
      <rgbColor rgb="FF969696"/>
      <rgbColor rgb="FF00263A"/>
      <rgbColor rgb="FF339966"/>
      <rgbColor rgb="FF003300"/>
      <rgbColor rgb="FF333300"/>
      <rgbColor rgb="FFB42318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17"/>
    <col collapsed="false" customWidth="true" hidden="false" outlineLevel="0" max="4" min="4" style="0" width="62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9" min="8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 t="n">
        <v>1</v>
      </c>
      <c r="B5" s="5" t="s">
        <v>11</v>
      </c>
      <c r="C5" s="4" t="s">
        <v>12</v>
      </c>
      <c r="D5" s="5" t="s">
        <v>13</v>
      </c>
      <c r="E5" s="4" t="s">
        <v>14</v>
      </c>
      <c r="F5" s="4" t="s">
        <v>15</v>
      </c>
      <c r="G5" s="4" t="n">
        <v>7</v>
      </c>
      <c r="H5" s="4" t="n">
        <f aca="false">COUNTIF(Hallazgos!$C$5:$C$15,B5)</f>
        <v>1</v>
      </c>
      <c r="I5" s="4" t="n">
        <f aca="false">COUNTIF(Palancas!$F$5:$F$12,B5)</f>
        <v>1</v>
      </c>
    </row>
    <row r="6" customFormat="false" ht="15" hidden="false" customHeight="false" outlineLevel="0" collapsed="false">
      <c r="A6" s="4" t="n">
        <v>3</v>
      </c>
      <c r="B6" s="5" t="s">
        <v>16</v>
      </c>
      <c r="C6" s="4" t="s">
        <v>12</v>
      </c>
      <c r="D6" s="5" t="s">
        <v>17</v>
      </c>
      <c r="E6" s="4" t="s">
        <v>14</v>
      </c>
      <c r="F6" s="4" t="s">
        <v>15</v>
      </c>
      <c r="G6" s="4" t="n">
        <v>7</v>
      </c>
      <c r="H6" s="4" t="n">
        <f aca="false">COUNTIF(Hallazgos!$C$5:$C$15,B6)</f>
        <v>3</v>
      </c>
      <c r="I6" s="4" t="n">
        <f aca="false">COUNTIF(Palancas!$F$5:$F$12,B6)</f>
        <v>3</v>
      </c>
    </row>
    <row r="7" customFormat="false" ht="15" hidden="false" customHeight="false" outlineLevel="0" collapsed="false">
      <c r="A7" s="4" t="n">
        <v>5</v>
      </c>
      <c r="B7" s="5" t="s">
        <v>18</v>
      </c>
      <c r="C7" s="4" t="s">
        <v>19</v>
      </c>
      <c r="D7" s="5" t="s">
        <v>20</v>
      </c>
      <c r="E7" s="4" t="s">
        <v>14</v>
      </c>
      <c r="F7" s="4" t="s">
        <v>15</v>
      </c>
      <c r="G7" s="4" t="n">
        <v>8</v>
      </c>
      <c r="H7" s="4" t="n">
        <f aca="false">COUNTIF(Hallazgos!$C$5:$C$15,B7)</f>
        <v>2</v>
      </c>
      <c r="I7" s="4" t="n">
        <f aca="false">COUNTIF(Palancas!$F$5:$F$12,B7)</f>
        <v>1</v>
      </c>
    </row>
    <row r="8" customFormat="false" ht="15" hidden="false" customHeight="false" outlineLevel="0" collapsed="false">
      <c r="A8" s="4" t="n">
        <v>6</v>
      </c>
      <c r="B8" s="5" t="s">
        <v>21</v>
      </c>
      <c r="C8" s="4" t="s">
        <v>19</v>
      </c>
      <c r="D8" s="5" t="s">
        <v>22</v>
      </c>
      <c r="E8" s="4" t="s">
        <v>14</v>
      </c>
      <c r="F8" s="4" t="s">
        <v>15</v>
      </c>
      <c r="G8" s="4" t="n">
        <v>6</v>
      </c>
      <c r="H8" s="4" t="n">
        <f aca="false">COUNTIF(Hallazgos!$C$5:$C$15,B8)</f>
        <v>2</v>
      </c>
      <c r="I8" s="4" t="n">
        <f aca="false">COUNTIF(Palancas!$F$5:$F$12,B8)</f>
        <v>1</v>
      </c>
    </row>
    <row r="9" customFormat="false" ht="15" hidden="false" customHeight="false" outlineLevel="0" collapsed="false">
      <c r="A9" s="4" t="n">
        <v>7</v>
      </c>
      <c r="B9" s="5" t="s">
        <v>23</v>
      </c>
      <c r="C9" s="4" t="s">
        <v>19</v>
      </c>
      <c r="D9" s="5" t="s">
        <v>24</v>
      </c>
      <c r="E9" s="4" t="s">
        <v>14</v>
      </c>
      <c r="F9" s="4" t="s">
        <v>15</v>
      </c>
      <c r="G9" s="4" t="n">
        <v>4</v>
      </c>
      <c r="H9" s="4" t="n">
        <f aca="false">COUNTIF(Hallazgos!$C$5:$C$15,B9)</f>
        <v>1</v>
      </c>
      <c r="I9" s="4" t="n">
        <f aca="false">COUNTIF(Palancas!$F$5:$F$12,B9)</f>
        <v>1</v>
      </c>
    </row>
    <row r="10" customFormat="false" ht="15" hidden="false" customHeight="false" outlineLevel="0" collapsed="false">
      <c r="A10" s="4" t="n">
        <v>8</v>
      </c>
      <c r="B10" s="5" t="s">
        <v>25</v>
      </c>
      <c r="C10" s="4" t="s">
        <v>19</v>
      </c>
      <c r="D10" s="5" t="s">
        <v>26</v>
      </c>
      <c r="E10" s="4" t="s">
        <v>14</v>
      </c>
      <c r="F10" s="4" t="s">
        <v>15</v>
      </c>
      <c r="G10" s="4" t="n">
        <v>9</v>
      </c>
      <c r="H10" s="4" t="n">
        <f aca="false">COUNTIF(Hallazgos!$C$5:$C$15,B10)</f>
        <v>2</v>
      </c>
      <c r="I10" s="4" t="n">
        <f aca="false">COUNTIF(Palancas!$F$5:$F$12,B10)</f>
        <v>1</v>
      </c>
    </row>
    <row r="11" customFormat="false" ht="15" hidden="false" customHeight="false" outlineLevel="0" collapsed="false">
      <c r="A11" s="6" t="s">
        <v>27</v>
      </c>
      <c r="G11" s="7" t="n">
        <f aca="false">SUM(G5:G10)</f>
        <v>41</v>
      </c>
      <c r="H11" s="7" t="n">
        <f aca="false">SUM(H5:H10)</f>
        <v>11</v>
      </c>
      <c r="I11" s="7" t="n">
        <f aca="false">SUM(I5:I10)</f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"/>
    <col collapsed="false" customWidth="true" hidden="false" outlineLevel="0" max="3" min="3" style="0" width="32"/>
    <col collapsed="false" customWidth="true" hidden="false" outlineLevel="0" max="4" min="4" style="0" width="26"/>
    <col collapsed="false" customWidth="true" hidden="false" outlineLevel="0" max="5" min="5" style="0" width="44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8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29</v>
      </c>
    </row>
    <row r="4" customFormat="false" ht="23.85" hidden="false" customHeight="false" outlineLevel="0" collapsed="false">
      <c r="A4" s="3" t="s">
        <v>30</v>
      </c>
      <c r="B4" s="3" t="s">
        <v>31</v>
      </c>
      <c r="C4" s="3" t="s">
        <v>32</v>
      </c>
      <c r="D4" s="3" t="s">
        <v>33</v>
      </c>
      <c r="E4" s="3" t="s">
        <v>34</v>
      </c>
      <c r="F4" s="3" t="s">
        <v>35</v>
      </c>
      <c r="G4" s="3" t="s">
        <v>36</v>
      </c>
      <c r="H4" s="3" t="s">
        <v>37</v>
      </c>
      <c r="I4" s="3" t="s">
        <v>38</v>
      </c>
      <c r="J4" s="3" t="s">
        <v>39</v>
      </c>
      <c r="K4" s="3" t="s">
        <v>40</v>
      </c>
      <c r="L4" s="3" t="s">
        <v>41</v>
      </c>
      <c r="M4" s="3" t="s">
        <v>42</v>
      </c>
      <c r="N4" s="3" t="s">
        <v>43</v>
      </c>
    </row>
    <row r="5" customFormat="false" ht="15" hidden="false" customHeight="false" outlineLevel="0" collapsed="false">
      <c r="A5" s="5" t="s">
        <v>44</v>
      </c>
      <c r="B5" s="4" t="s">
        <v>45</v>
      </c>
      <c r="C5" s="5" t="s">
        <v>46</v>
      </c>
      <c r="D5" s="5" t="s">
        <v>47</v>
      </c>
      <c r="E5" s="5" t="s">
        <v>48</v>
      </c>
      <c r="F5" s="4" t="s">
        <v>49</v>
      </c>
      <c r="G5" s="5" t="s">
        <v>50</v>
      </c>
      <c r="H5" s="8" t="n">
        <v>1720</v>
      </c>
      <c r="I5" s="9" t="n">
        <v>60.2</v>
      </c>
      <c r="J5" s="10" t="n">
        <v>1</v>
      </c>
      <c r="K5" s="9" t="n">
        <f aca="false">I5*J5</f>
        <v>60.2</v>
      </c>
      <c r="L5" s="10" t="n">
        <f aca="false">SUMIF(Dedicación!$A$5:$A$12,A5,Dedicación!$E$5:$E$12)</f>
        <v>1</v>
      </c>
      <c r="M5" s="10" t="n">
        <f aca="false">J5-L5</f>
        <v>0</v>
      </c>
      <c r="N5" s="5" t="s">
        <v>51</v>
      </c>
    </row>
    <row r="6" customFormat="false" ht="15" hidden="false" customHeight="false" outlineLevel="0" collapsed="false">
      <c r="A6" s="5" t="s">
        <v>52</v>
      </c>
      <c r="B6" s="4" t="s">
        <v>53</v>
      </c>
      <c r="C6" s="5" t="s">
        <v>54</v>
      </c>
      <c r="D6" s="5" t="s">
        <v>55</v>
      </c>
      <c r="E6" s="5" t="s">
        <v>56</v>
      </c>
      <c r="F6" s="4" t="s">
        <v>49</v>
      </c>
      <c r="G6" s="5" t="s">
        <v>50</v>
      </c>
      <c r="H6" s="8" t="n">
        <v>1720</v>
      </c>
      <c r="I6" s="9" t="n">
        <v>37.8</v>
      </c>
      <c r="J6" s="10" t="n">
        <v>0.25</v>
      </c>
      <c r="K6" s="9" t="n">
        <f aca="false">I6*J6</f>
        <v>9.45</v>
      </c>
      <c r="L6" s="10" t="n">
        <f aca="false">SUMIF(Dedicación!$A$5:$A$12,A6,Dedicación!$E$5:$E$12)</f>
        <v>0.25</v>
      </c>
      <c r="M6" s="10" t="n">
        <f aca="false">J6-L6</f>
        <v>0</v>
      </c>
      <c r="N6" s="5" t="s">
        <v>57</v>
      </c>
    </row>
    <row r="7" customFormat="false" ht="15" hidden="false" customHeight="false" outlineLevel="0" collapsed="false">
      <c r="A7" s="5" t="s">
        <v>58</v>
      </c>
      <c r="B7" s="4" t="s">
        <v>59</v>
      </c>
      <c r="C7" s="5" t="s">
        <v>60</v>
      </c>
      <c r="D7" s="5" t="s">
        <v>61</v>
      </c>
      <c r="E7" s="5" t="s">
        <v>62</v>
      </c>
      <c r="F7" s="4" t="s">
        <v>49</v>
      </c>
      <c r="G7" s="5" t="s">
        <v>50</v>
      </c>
      <c r="H7" s="8" t="n">
        <v>1720</v>
      </c>
      <c r="I7" s="9" t="n">
        <v>82.6</v>
      </c>
      <c r="J7" s="10" t="n">
        <v>0.15</v>
      </c>
      <c r="K7" s="9" t="n">
        <f aca="false">I7*J7</f>
        <v>12.39</v>
      </c>
      <c r="L7" s="10" t="n">
        <f aca="false">SUMIF(Dedicación!$A$5:$A$12,A7,Dedicación!$E$5:$E$12)</f>
        <v>0.15</v>
      </c>
      <c r="M7" s="10" t="n">
        <f aca="false">J7-L7</f>
        <v>0</v>
      </c>
      <c r="N7" s="5" t="s">
        <v>51</v>
      </c>
    </row>
    <row r="8" customFormat="false" ht="23.85" hidden="false" customHeight="false" outlineLevel="0" collapsed="false">
      <c r="A8" s="5" t="s">
        <v>63</v>
      </c>
      <c r="B8" s="4" t="s">
        <v>64</v>
      </c>
      <c r="C8" s="5" t="s">
        <v>65</v>
      </c>
      <c r="D8" s="5" t="s">
        <v>55</v>
      </c>
      <c r="E8" s="5" t="s">
        <v>66</v>
      </c>
      <c r="F8" s="4" t="s">
        <v>49</v>
      </c>
      <c r="G8" s="5" t="s">
        <v>50</v>
      </c>
      <c r="H8" s="8" t="n">
        <v>1720</v>
      </c>
      <c r="I8" s="9" t="n">
        <v>37.8</v>
      </c>
      <c r="J8" s="10" t="n">
        <v>0.2</v>
      </c>
      <c r="K8" s="9" t="n">
        <f aca="false">I8*J8</f>
        <v>7.56</v>
      </c>
      <c r="L8" s="10" t="n">
        <f aca="false">SUMIF(Dedicación!$A$5:$A$12,A8,Dedicación!$E$5:$E$12)</f>
        <v>0.2</v>
      </c>
      <c r="M8" s="10" t="n">
        <f aca="false">J8-L8</f>
        <v>0</v>
      </c>
      <c r="N8" s="5" t="s">
        <v>51</v>
      </c>
    </row>
    <row r="9" customFormat="false" ht="15" hidden="false" customHeight="false" outlineLevel="0" collapsed="false">
      <c r="A9" s="5" t="s">
        <v>67</v>
      </c>
      <c r="B9" s="4" t="s">
        <v>68</v>
      </c>
      <c r="C9" s="5" t="s">
        <v>69</v>
      </c>
      <c r="D9" s="5" t="s">
        <v>61</v>
      </c>
      <c r="E9" s="5" t="s">
        <v>56</v>
      </c>
      <c r="F9" s="4" t="s">
        <v>49</v>
      </c>
      <c r="G9" s="5" t="s">
        <v>50</v>
      </c>
      <c r="H9" s="8" t="n">
        <v>1720</v>
      </c>
      <c r="I9" s="9" t="n">
        <v>82.6</v>
      </c>
      <c r="J9" s="10" t="n">
        <v>0</v>
      </c>
      <c r="K9" s="9" t="n">
        <f aca="false">I9*J9</f>
        <v>0</v>
      </c>
      <c r="L9" s="10" t="n">
        <f aca="false">SUMIF(Dedicación!$A$5:$A$12,A9,Dedicación!$E$5:$E$12)</f>
        <v>0</v>
      </c>
      <c r="M9" s="10" t="n">
        <f aca="false">J9-L9</f>
        <v>0</v>
      </c>
      <c r="N9" s="5"/>
    </row>
    <row r="10" customFormat="false" ht="23.85" hidden="false" customHeight="false" outlineLevel="0" collapsed="false">
      <c r="A10" s="5" t="s">
        <v>70</v>
      </c>
      <c r="B10" s="4" t="s">
        <v>71</v>
      </c>
      <c r="C10" s="5" t="s">
        <v>72</v>
      </c>
      <c r="D10" s="5" t="s">
        <v>47</v>
      </c>
      <c r="E10" s="5" t="s">
        <v>73</v>
      </c>
      <c r="F10" s="4" t="s">
        <v>74</v>
      </c>
      <c r="G10" s="5" t="s">
        <v>75</v>
      </c>
      <c r="H10" s="8" t="n">
        <v>1720</v>
      </c>
      <c r="I10" s="9" t="n">
        <v>60.2</v>
      </c>
      <c r="J10" s="10" t="n">
        <v>0</v>
      </c>
      <c r="K10" s="9" t="n">
        <f aca="false">I10*J10</f>
        <v>0</v>
      </c>
      <c r="L10" s="10" t="n">
        <f aca="false">SUMIF(Dedicación!$A$5:$A$12,A10,Dedicación!$E$5:$E$12)</f>
        <v>0</v>
      </c>
      <c r="M10" s="10" t="n">
        <f aca="false">J10-L10</f>
        <v>0</v>
      </c>
      <c r="N10" s="5"/>
    </row>
    <row r="11" customFormat="false" ht="15" hidden="false" customHeight="false" outlineLevel="0" collapsed="false">
      <c r="A11" s="5" t="s">
        <v>76</v>
      </c>
      <c r="B11" s="4" t="s">
        <v>71</v>
      </c>
      <c r="C11" s="5" t="s">
        <v>77</v>
      </c>
      <c r="D11" s="5" t="s">
        <v>55</v>
      </c>
      <c r="E11" s="5" t="s">
        <v>48</v>
      </c>
      <c r="F11" s="4" t="s">
        <v>74</v>
      </c>
      <c r="G11" s="5" t="s">
        <v>75</v>
      </c>
      <c r="H11" s="8" t="n">
        <v>1720</v>
      </c>
      <c r="I11" s="9" t="n">
        <v>37.8</v>
      </c>
      <c r="J11" s="10" t="n">
        <v>0</v>
      </c>
      <c r="K11" s="9" t="n">
        <f aca="false">I11*J11</f>
        <v>0</v>
      </c>
      <c r="L11" s="10" t="n">
        <f aca="false">SUMIF(Dedicación!$A$5:$A$12,A11,Dedicación!$E$5:$E$12)</f>
        <v>0</v>
      </c>
      <c r="M11" s="10" t="n">
        <f aca="false">J11-L11</f>
        <v>0</v>
      </c>
      <c r="N11" s="5"/>
    </row>
    <row r="12" customFormat="false" ht="15" hidden="false" customHeight="false" outlineLevel="0" collapsed="false">
      <c r="A12" s="5" t="s">
        <v>78</v>
      </c>
      <c r="B12" s="4" t="s">
        <v>71</v>
      </c>
      <c r="C12" s="5" t="s">
        <v>79</v>
      </c>
      <c r="D12" s="5" t="s">
        <v>47</v>
      </c>
      <c r="E12" s="5" t="s">
        <v>80</v>
      </c>
      <c r="F12" s="4" t="s">
        <v>74</v>
      </c>
      <c r="G12" s="5" t="s">
        <v>75</v>
      </c>
      <c r="H12" s="8" t="n">
        <v>1720</v>
      </c>
      <c r="I12" s="9" t="n">
        <v>60.2</v>
      </c>
      <c r="J12" s="10" t="n">
        <v>0.1</v>
      </c>
      <c r="K12" s="9" t="n">
        <f aca="false">I12*J12</f>
        <v>6.02</v>
      </c>
      <c r="L12" s="10" t="n">
        <f aca="false">SUMIF(Dedicación!$A$5:$A$12,A12,Dedicación!$E$5:$E$12)</f>
        <v>0</v>
      </c>
      <c r="M12" s="10" t="n">
        <f aca="false">J12-L12</f>
        <v>0.1</v>
      </c>
      <c r="N12" s="5"/>
    </row>
    <row r="13" customFormat="false" ht="15" hidden="false" customHeight="false" outlineLevel="0" collapsed="false">
      <c r="A13" s="5" t="s">
        <v>81</v>
      </c>
      <c r="B13" s="4" t="s">
        <v>71</v>
      </c>
      <c r="C13" s="5" t="s">
        <v>82</v>
      </c>
      <c r="D13" s="5" t="s">
        <v>61</v>
      </c>
      <c r="E13" s="5" t="s">
        <v>83</v>
      </c>
      <c r="F13" s="4" t="s">
        <v>74</v>
      </c>
      <c r="G13" s="5" t="s">
        <v>75</v>
      </c>
      <c r="H13" s="8" t="n">
        <v>1720</v>
      </c>
      <c r="I13" s="9" t="n">
        <v>82.6</v>
      </c>
      <c r="J13" s="10" t="n">
        <v>0</v>
      </c>
      <c r="K13" s="9" t="n">
        <f aca="false">I13*J13</f>
        <v>0</v>
      </c>
      <c r="L13" s="10" t="n">
        <f aca="false">SUMIF(Dedicación!$A$5:$A$12,A13,Dedicación!$E$5:$E$12)</f>
        <v>0</v>
      </c>
      <c r="M13" s="10" t="n">
        <f aca="false">J13-L13</f>
        <v>0</v>
      </c>
      <c r="N13" s="5"/>
    </row>
    <row r="14" customFormat="false" ht="15" hidden="false" customHeight="false" outlineLevel="0" collapsed="false">
      <c r="A14" s="5" t="s">
        <v>84</v>
      </c>
      <c r="B14" s="4" t="s">
        <v>71</v>
      </c>
      <c r="C14" s="5" t="s">
        <v>85</v>
      </c>
      <c r="D14" s="5" t="s">
        <v>61</v>
      </c>
      <c r="E14" s="5" t="s">
        <v>86</v>
      </c>
      <c r="F14" s="4" t="s">
        <v>74</v>
      </c>
      <c r="G14" s="5" t="s">
        <v>75</v>
      </c>
      <c r="H14" s="8" t="n">
        <v>1720</v>
      </c>
      <c r="I14" s="9" t="n">
        <v>82.6</v>
      </c>
      <c r="J14" s="10" t="n">
        <v>0</v>
      </c>
      <c r="K14" s="9" t="n">
        <f aca="false">I14*J14</f>
        <v>0</v>
      </c>
      <c r="L14" s="10" t="n">
        <f aca="false">SUMIF(Dedicación!$A$5:$A$12,A14,Dedicación!$E$5:$E$12)</f>
        <v>0</v>
      </c>
      <c r="M14" s="10" t="n">
        <f aca="false">J14-L14</f>
        <v>0</v>
      </c>
      <c r="N14" s="5"/>
    </row>
    <row r="15" customFormat="false" ht="15" hidden="false" customHeight="false" outlineLevel="0" collapsed="false">
      <c r="A15" s="5" t="s">
        <v>87</v>
      </c>
      <c r="B15" s="4" t="s">
        <v>71</v>
      </c>
      <c r="C15" s="5" t="s">
        <v>88</v>
      </c>
      <c r="D15" s="5" t="s">
        <v>61</v>
      </c>
      <c r="E15" s="5" t="s">
        <v>83</v>
      </c>
      <c r="F15" s="4" t="s">
        <v>89</v>
      </c>
      <c r="G15" s="5" t="s">
        <v>75</v>
      </c>
      <c r="H15" s="8" t="n">
        <v>1720</v>
      </c>
      <c r="I15" s="9" t="n">
        <v>82.6</v>
      </c>
      <c r="J15" s="10" t="n">
        <v>0</v>
      </c>
      <c r="K15" s="9" t="n">
        <f aca="false">I15*J15</f>
        <v>0</v>
      </c>
      <c r="L15" s="10" t="n">
        <f aca="false">SUMIF(Dedicación!$A$5:$A$12,A15,Dedicación!$E$5:$E$12)</f>
        <v>0</v>
      </c>
      <c r="M15" s="10" t="n">
        <f aca="false">J15-L15</f>
        <v>0</v>
      </c>
      <c r="N15" s="5"/>
    </row>
    <row r="16" customFormat="false" ht="15" hidden="false" customHeight="false" outlineLevel="0" collapsed="false">
      <c r="A16" s="5" t="s">
        <v>90</v>
      </c>
      <c r="B16" s="4" t="s">
        <v>71</v>
      </c>
      <c r="C16" s="5" t="s">
        <v>91</v>
      </c>
      <c r="D16" s="5" t="s">
        <v>47</v>
      </c>
      <c r="E16" s="5" t="s">
        <v>48</v>
      </c>
      <c r="F16" s="4" t="s">
        <v>92</v>
      </c>
      <c r="G16" s="5" t="s">
        <v>93</v>
      </c>
      <c r="H16" s="8" t="n">
        <v>1720</v>
      </c>
      <c r="I16" s="9" t="n">
        <v>60.2</v>
      </c>
      <c r="J16" s="10" t="n">
        <v>0</v>
      </c>
      <c r="K16" s="9" t="n">
        <f aca="false">I16*J16</f>
        <v>0</v>
      </c>
      <c r="L16" s="10" t="n">
        <f aca="false">SUMIF(Dedicación!$A$5:$A$12,A16,Dedicación!$E$5:$E$12)</f>
        <v>0</v>
      </c>
      <c r="M16" s="10" t="n">
        <f aca="false">J16-L16</f>
        <v>0</v>
      </c>
      <c r="N16" s="5"/>
    </row>
    <row r="17" customFormat="false" ht="15" hidden="false" customHeight="false" outlineLevel="0" collapsed="false">
      <c r="A17" s="5" t="s">
        <v>94</v>
      </c>
      <c r="B17" s="4" t="s">
        <v>71</v>
      </c>
      <c r="C17" s="5" t="s">
        <v>95</v>
      </c>
      <c r="D17" s="5" t="s">
        <v>47</v>
      </c>
      <c r="E17" s="5" t="s">
        <v>86</v>
      </c>
      <c r="F17" s="4" t="s">
        <v>92</v>
      </c>
      <c r="G17" s="5" t="s">
        <v>93</v>
      </c>
      <c r="H17" s="8" t="n">
        <v>1720</v>
      </c>
      <c r="I17" s="9" t="n">
        <v>60.2</v>
      </c>
      <c r="J17" s="10" t="n">
        <v>0</v>
      </c>
      <c r="K17" s="9" t="n">
        <f aca="false">I17*J17</f>
        <v>0</v>
      </c>
      <c r="L17" s="10" t="n">
        <f aca="false">SUMIF(Dedicación!$A$5:$A$12,A17,Dedicación!$E$5:$E$12)</f>
        <v>0</v>
      </c>
      <c r="M17" s="10" t="n">
        <f aca="false">J17-L17</f>
        <v>0</v>
      </c>
      <c r="N17" s="5"/>
    </row>
    <row r="18" customFormat="false" ht="15" hidden="false" customHeight="false" outlineLevel="0" collapsed="false">
      <c r="A18" s="5" t="s">
        <v>96</v>
      </c>
      <c r="B18" s="4" t="s">
        <v>71</v>
      </c>
      <c r="C18" s="5" t="s">
        <v>97</v>
      </c>
      <c r="D18" s="5" t="s">
        <v>61</v>
      </c>
      <c r="E18" s="5" t="s">
        <v>80</v>
      </c>
      <c r="F18" s="4" t="s">
        <v>92</v>
      </c>
      <c r="G18" s="5" t="s">
        <v>93</v>
      </c>
      <c r="H18" s="8" t="n">
        <v>1720</v>
      </c>
      <c r="I18" s="9" t="n">
        <v>82.6</v>
      </c>
      <c r="J18" s="10" t="n">
        <v>0</v>
      </c>
      <c r="K18" s="9" t="n">
        <f aca="false">I18*J18</f>
        <v>0</v>
      </c>
      <c r="L18" s="10" t="n">
        <f aca="false">SUMIF(Dedicación!$A$5:$A$12,A18,Dedicación!$E$5:$E$12)</f>
        <v>0</v>
      </c>
      <c r="M18" s="10" t="n">
        <f aca="false">J18-L18</f>
        <v>0</v>
      </c>
      <c r="N18" s="5"/>
    </row>
    <row r="19" customFormat="false" ht="15" hidden="false" customHeight="false" outlineLevel="0" collapsed="false">
      <c r="A19" s="6" t="s">
        <v>98</v>
      </c>
      <c r="H19" s="11" t="n">
        <f aca="false">SUM(H5:H18)</f>
        <v>24080</v>
      </c>
      <c r="I19" s="12" t="n">
        <f aca="false">SUM(I5:I18)</f>
        <v>910</v>
      </c>
      <c r="K19" s="12" t="n">
        <f aca="false">SUM(K5:K18)</f>
        <v>95.62</v>
      </c>
    </row>
  </sheetData>
  <autoFilter ref="A4:N18"/>
  <conditionalFormatting sqref="M5:M18">
    <cfRule type="expression" priority="2" aboveAverage="0" equalAverage="0" bottom="0" percent="0" rank="0" text="" dxfId="5">
      <formula>ABS($M5)&gt;0.001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16"/>
  </cols>
  <sheetData>
    <row r="1" customFormat="false" ht="17.35" hidden="false" customHeight="false" outlineLevel="0" collapsed="false">
      <c r="A1" s="1" t="s">
        <v>99</v>
      </c>
    </row>
    <row r="2" customFormat="false" ht="15" hidden="false" customHeight="false" outlineLevel="0" collapsed="false">
      <c r="A2" s="2" t="s">
        <v>100</v>
      </c>
    </row>
    <row r="4" customFormat="false" ht="15" hidden="false" customHeight="false" outlineLevel="0" collapsed="false">
      <c r="A4" s="3" t="s">
        <v>30</v>
      </c>
      <c r="B4" s="3" t="s">
        <v>35</v>
      </c>
      <c r="C4" s="3" t="s">
        <v>101</v>
      </c>
      <c r="D4" s="3" t="s">
        <v>3</v>
      </c>
      <c r="E4" s="3" t="s">
        <v>102</v>
      </c>
      <c r="F4" s="3" t="s">
        <v>40</v>
      </c>
    </row>
    <row r="5" customFormat="false" ht="15" hidden="false" customHeight="false" outlineLevel="0" collapsed="false">
      <c r="A5" s="5" t="s">
        <v>52</v>
      </c>
      <c r="B5" s="4" t="str">
        <f aca="false">INDEX(Personas!$F$5:$F$18,MATCH(A5,Personas!$A$5:$A$18,0))</f>
        <v>Ondupet</v>
      </c>
      <c r="C5" s="4" t="s">
        <v>103</v>
      </c>
      <c r="D5" s="5" t="s">
        <v>18</v>
      </c>
      <c r="E5" s="10" t="n">
        <v>0.25</v>
      </c>
      <c r="F5" s="9" t="n">
        <f aca="false">E5*INDEX(Personas!$I$5:$I$18,MATCH(A5,Personas!$A$5:$A$18,0))</f>
        <v>9.45</v>
      </c>
    </row>
    <row r="6" customFormat="false" ht="15" hidden="false" customHeight="false" outlineLevel="0" collapsed="false">
      <c r="A6" s="5" t="s">
        <v>58</v>
      </c>
      <c r="B6" s="4" t="str">
        <f aca="false">INDEX(Personas!$F$5:$F$18,MATCH(A6,Personas!$A$5:$A$18,0))</f>
        <v>Ondupet</v>
      </c>
      <c r="C6" s="4" t="s">
        <v>103</v>
      </c>
      <c r="D6" s="5" t="s">
        <v>16</v>
      </c>
      <c r="E6" s="10" t="n">
        <v>0.15</v>
      </c>
      <c r="F6" s="9" t="n">
        <f aca="false">E6*INDEX(Personas!$I$5:$I$18,MATCH(A6,Personas!$A$5:$A$18,0))</f>
        <v>12.39</v>
      </c>
    </row>
    <row r="7" customFormat="false" ht="15" hidden="false" customHeight="false" outlineLevel="0" collapsed="false">
      <c r="A7" s="5" t="s">
        <v>63</v>
      </c>
      <c r="B7" s="4" t="str">
        <f aca="false">INDEX(Personas!$F$5:$F$18,MATCH(A7,Personas!$A$5:$A$18,0))</f>
        <v>Ondupet</v>
      </c>
      <c r="C7" s="4" t="s">
        <v>103</v>
      </c>
      <c r="D7" s="5" t="s">
        <v>16</v>
      </c>
      <c r="E7" s="10" t="n">
        <v>0.2</v>
      </c>
      <c r="F7" s="9" t="n">
        <f aca="false">E7*INDEX(Personas!$I$5:$I$18,MATCH(A7,Personas!$A$5:$A$18,0))</f>
        <v>7.56</v>
      </c>
    </row>
    <row r="8" customFormat="false" ht="15" hidden="false" customHeight="false" outlineLevel="0" collapsed="false">
      <c r="A8" s="5" t="s">
        <v>44</v>
      </c>
      <c r="B8" s="4" t="str">
        <f aca="false">INDEX(Personas!$F$5:$F$18,MATCH(A8,Personas!$A$5:$A$18,0))</f>
        <v>Ondupet</v>
      </c>
      <c r="C8" s="4" t="s">
        <v>103</v>
      </c>
      <c r="D8" s="5" t="s">
        <v>18</v>
      </c>
      <c r="E8" s="10" t="n">
        <v>0.3</v>
      </c>
      <c r="F8" s="9" t="n">
        <f aca="false">E8*INDEX(Personas!$I$5:$I$18,MATCH(A8,Personas!$A$5:$A$18,0))</f>
        <v>18.06</v>
      </c>
    </row>
    <row r="9" customFormat="false" ht="15" hidden="false" customHeight="false" outlineLevel="0" collapsed="false">
      <c r="A9" s="5" t="s">
        <v>44</v>
      </c>
      <c r="B9" s="4" t="str">
        <f aca="false">INDEX(Personas!$F$5:$F$18,MATCH(A9,Personas!$A$5:$A$18,0))</f>
        <v>Ondupet</v>
      </c>
      <c r="C9" s="4" t="s">
        <v>103</v>
      </c>
      <c r="D9" s="5" t="s">
        <v>23</v>
      </c>
      <c r="E9" s="10" t="n">
        <v>0.25</v>
      </c>
      <c r="F9" s="9" t="n">
        <f aca="false">E9*INDEX(Personas!$I$5:$I$18,MATCH(A9,Personas!$A$5:$A$18,0))</f>
        <v>15.05</v>
      </c>
    </row>
    <row r="10" customFormat="false" ht="15" hidden="false" customHeight="false" outlineLevel="0" collapsed="false">
      <c r="A10" s="5" t="s">
        <v>44</v>
      </c>
      <c r="B10" s="4" t="str">
        <f aca="false">INDEX(Personas!$F$5:$F$18,MATCH(A10,Personas!$A$5:$A$18,0))</f>
        <v>Ondupet</v>
      </c>
      <c r="C10" s="4" t="s">
        <v>103</v>
      </c>
      <c r="D10" s="5" t="s">
        <v>21</v>
      </c>
      <c r="E10" s="10" t="n">
        <v>0.25</v>
      </c>
      <c r="F10" s="9" t="n">
        <f aca="false">E10*INDEX(Personas!$I$5:$I$18,MATCH(A10,Personas!$A$5:$A$18,0))</f>
        <v>15.05</v>
      </c>
    </row>
    <row r="11" customFormat="false" ht="15" hidden="false" customHeight="false" outlineLevel="0" collapsed="false">
      <c r="A11" s="5" t="s">
        <v>44</v>
      </c>
      <c r="B11" s="4" t="str">
        <f aca="false">INDEX(Personas!$F$5:$F$18,MATCH(A11,Personas!$A$5:$A$18,0))</f>
        <v>Ondupet</v>
      </c>
      <c r="C11" s="4" t="s">
        <v>103</v>
      </c>
      <c r="D11" s="5" t="s">
        <v>25</v>
      </c>
      <c r="E11" s="10" t="n">
        <v>0.15</v>
      </c>
      <c r="F11" s="9" t="n">
        <f aca="false">E11*INDEX(Personas!$I$5:$I$18,MATCH(A11,Personas!$A$5:$A$18,0))</f>
        <v>9.03</v>
      </c>
    </row>
    <row r="12" customFormat="false" ht="15" hidden="false" customHeight="false" outlineLevel="0" collapsed="false">
      <c r="A12" s="5" t="s">
        <v>44</v>
      </c>
      <c r="B12" s="4" t="str">
        <f aca="false">INDEX(Personas!$F$5:$F$18,MATCH(A12,Personas!$A$5:$A$18,0))</f>
        <v>Ondupet</v>
      </c>
      <c r="C12" s="4" t="s">
        <v>103</v>
      </c>
      <c r="D12" s="5" t="s">
        <v>11</v>
      </c>
      <c r="E12" s="10" t="n">
        <v>0.05</v>
      </c>
      <c r="F12" s="9" t="n">
        <f aca="false">E12*INDEX(Personas!$I$5:$I$18,MATCH(A12,Personas!$A$5:$A$18,0))</f>
        <v>3.01</v>
      </c>
    </row>
    <row r="15" customFormat="false" ht="15" hidden="false" customHeight="false" outlineLevel="0" collapsed="false">
      <c r="A15" s="3" t="s">
        <v>104</v>
      </c>
      <c r="B15" s="3" t="s">
        <v>105</v>
      </c>
      <c r="C15" s="3" t="s">
        <v>40</v>
      </c>
    </row>
    <row r="16" customFormat="false" ht="15" hidden="false" customHeight="false" outlineLevel="0" collapsed="false">
      <c r="A16" s="5" t="s">
        <v>103</v>
      </c>
      <c r="B16" s="13" t="n">
        <f aca="false">SUMPRODUCT((Dedicación!$C$5:$C$12=A16)/COUNTIFS(Dedicación!$A$5:$A$12,Dedicación!$A$5:$A$12,Dedicación!$C$5:$C$12,Dedicación!$C$5:$C$12))</f>
        <v>4</v>
      </c>
      <c r="C16" s="9" t="n">
        <f aca="false">SUMIF(Dedicación!$C$5:$C$12,A16,Dedicación!$F$5:$F$12)</f>
        <v>89.6</v>
      </c>
    </row>
    <row r="17" customFormat="false" ht="15" hidden="false" customHeight="false" outlineLevel="0" collapsed="false">
      <c r="A17" s="5" t="s">
        <v>106</v>
      </c>
      <c r="B17" s="13" t="n">
        <f aca="false">SUMPRODUCT((Dedicación!$C$5:$C$12=A17)/COUNTIFS(Dedicación!$A$5:$A$12,Dedicación!$A$5:$A$12,Dedicación!$C$5:$C$12,Dedicación!$C$5:$C$12))</f>
        <v>0</v>
      </c>
      <c r="C17" s="9" t="n">
        <f aca="false">SUMIF(Dedicación!$C$5:$C$12,A17,Dedicación!$F$5:$F$12)</f>
        <v>0</v>
      </c>
    </row>
    <row r="18" customFormat="false" ht="15" hidden="false" customHeight="false" outlineLevel="0" collapsed="false">
      <c r="A18" s="5" t="s">
        <v>107</v>
      </c>
      <c r="B18" s="13" t="n">
        <f aca="false">SUMPRODUCT((Dedicación!$C$5:$C$12=A18)/COUNTIFS(Dedicación!$A$5:$A$12,Dedicación!$A$5:$A$12,Dedicación!$C$5:$C$12,Dedicación!$C$5:$C$12))</f>
        <v>0</v>
      </c>
      <c r="C18" s="9" t="n">
        <f aca="false">SUMIF(Dedicación!$C$5:$C$12,A18,Dedicación!$F$5:$F$12)</f>
        <v>0</v>
      </c>
    </row>
  </sheetData>
  <autoFilter ref="A4:F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60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36"/>
    <col collapsed="false" customWidth="true" hidden="false" outlineLevel="0" max="8" min="8" style="0" width="18"/>
    <col collapsed="false" customWidth="true" hidden="false" outlineLevel="0" max="12" min="9" style="0" width="10"/>
    <col collapsed="false" customWidth="true" hidden="false" outlineLevel="0" max="13" min="13" style="0" width="13"/>
  </cols>
  <sheetData>
    <row r="1" customFormat="false" ht="17.3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109</v>
      </c>
    </row>
    <row r="4" customFormat="false" ht="15" hidden="false" customHeight="false" outlineLevel="0" collapsed="false">
      <c r="A4" s="3" t="s">
        <v>31</v>
      </c>
      <c r="B4" s="3" t="s">
        <v>110</v>
      </c>
      <c r="C4" s="3" t="s">
        <v>3</v>
      </c>
      <c r="D4" s="3" t="s">
        <v>111</v>
      </c>
      <c r="E4" s="3" t="s">
        <v>112</v>
      </c>
      <c r="F4" s="3" t="s">
        <v>113</v>
      </c>
      <c r="G4" s="3" t="s">
        <v>114</v>
      </c>
      <c r="H4" s="3" t="s">
        <v>115</v>
      </c>
      <c r="I4" s="3" t="s">
        <v>49</v>
      </c>
      <c r="J4" s="3" t="s">
        <v>74</v>
      </c>
      <c r="K4" s="3" t="s">
        <v>92</v>
      </c>
      <c r="L4" s="3" t="s">
        <v>116</v>
      </c>
      <c r="M4" s="3" t="s">
        <v>117</v>
      </c>
    </row>
    <row r="5" customFormat="false" ht="23.85" hidden="false" customHeight="false" outlineLevel="0" collapsed="false">
      <c r="A5" s="4" t="s">
        <v>118</v>
      </c>
      <c r="B5" s="5" t="s">
        <v>119</v>
      </c>
      <c r="C5" s="5" t="s">
        <v>11</v>
      </c>
      <c r="D5" s="5" t="s">
        <v>120</v>
      </c>
      <c r="E5" s="4" t="s">
        <v>121</v>
      </c>
      <c r="F5" s="4" t="s">
        <v>14</v>
      </c>
      <c r="G5" s="5" t="s">
        <v>122</v>
      </c>
      <c r="H5" s="5" t="s">
        <v>123</v>
      </c>
      <c r="I5" s="4" t="s">
        <v>124</v>
      </c>
      <c r="J5" s="4" t="s">
        <v>124</v>
      </c>
      <c r="K5" s="4" t="s">
        <v>124</v>
      </c>
      <c r="L5" s="4" t="n">
        <f aca="false">COUNTIF(I5:K5,"✓")</f>
        <v>3</v>
      </c>
      <c r="M5" s="4" t="s">
        <v>14</v>
      </c>
    </row>
    <row r="6" customFormat="false" ht="23.85" hidden="false" customHeight="false" outlineLevel="0" collapsed="false">
      <c r="A6" s="4" t="s">
        <v>125</v>
      </c>
      <c r="B6" s="5" t="s">
        <v>126</v>
      </c>
      <c r="C6" s="5" t="s">
        <v>16</v>
      </c>
      <c r="D6" s="5" t="s">
        <v>127</v>
      </c>
      <c r="E6" s="4" t="s">
        <v>128</v>
      </c>
      <c r="F6" s="4" t="s">
        <v>129</v>
      </c>
      <c r="G6" s="5" t="s">
        <v>130</v>
      </c>
      <c r="H6" s="5" t="s">
        <v>131</v>
      </c>
      <c r="I6" s="4" t="s">
        <v>124</v>
      </c>
      <c r="J6" s="4" t="s">
        <v>124</v>
      </c>
      <c r="K6" s="4" t="s">
        <v>124</v>
      </c>
      <c r="L6" s="4" t="n">
        <f aca="false">COUNTIF(I6:K6,"✓")</f>
        <v>3</v>
      </c>
      <c r="M6" s="4" t="s">
        <v>14</v>
      </c>
    </row>
    <row r="7" customFormat="false" ht="23.85" hidden="false" customHeight="false" outlineLevel="0" collapsed="false">
      <c r="A7" s="4" t="s">
        <v>132</v>
      </c>
      <c r="B7" s="5" t="s">
        <v>133</v>
      </c>
      <c r="C7" s="5" t="s">
        <v>16</v>
      </c>
      <c r="D7" s="5" t="s">
        <v>134</v>
      </c>
      <c r="E7" s="4" t="s">
        <v>128</v>
      </c>
      <c r="F7" s="4" t="s">
        <v>135</v>
      </c>
      <c r="G7" s="5" t="s">
        <v>136</v>
      </c>
      <c r="H7" s="5" t="s">
        <v>137</v>
      </c>
      <c r="I7" s="4" t="s">
        <v>124</v>
      </c>
      <c r="J7" s="4"/>
      <c r="K7" s="4" t="s">
        <v>124</v>
      </c>
      <c r="L7" s="4" t="n">
        <f aca="false">COUNTIF(I7:K7,"✓")</f>
        <v>2</v>
      </c>
      <c r="M7" s="4" t="s">
        <v>74</v>
      </c>
    </row>
    <row r="8" customFormat="false" ht="23.85" hidden="false" customHeight="false" outlineLevel="0" collapsed="false">
      <c r="A8" s="4" t="s">
        <v>138</v>
      </c>
      <c r="B8" s="5" t="s">
        <v>139</v>
      </c>
      <c r="C8" s="5" t="s">
        <v>16</v>
      </c>
      <c r="D8" s="5" t="s">
        <v>140</v>
      </c>
      <c r="E8" s="4" t="s">
        <v>121</v>
      </c>
      <c r="F8" s="4" t="s">
        <v>14</v>
      </c>
      <c r="G8" s="5" t="s">
        <v>141</v>
      </c>
      <c r="H8" s="5" t="s">
        <v>142</v>
      </c>
      <c r="I8" s="4" t="s">
        <v>124</v>
      </c>
      <c r="J8" s="4"/>
      <c r="K8" s="4" t="s">
        <v>124</v>
      </c>
      <c r="L8" s="4" t="n">
        <f aca="false">COUNTIF(I8:K8,"✓")</f>
        <v>2</v>
      </c>
      <c r="M8" s="4" t="s">
        <v>74</v>
      </c>
    </row>
    <row r="9" customFormat="false" ht="23.85" hidden="false" customHeight="false" outlineLevel="0" collapsed="false">
      <c r="A9" s="4" t="s">
        <v>143</v>
      </c>
      <c r="B9" s="5" t="s">
        <v>144</v>
      </c>
      <c r="C9" s="5" t="s">
        <v>18</v>
      </c>
      <c r="D9" s="5" t="s">
        <v>145</v>
      </c>
      <c r="E9" s="4" t="s">
        <v>128</v>
      </c>
      <c r="F9" s="4" t="s">
        <v>146</v>
      </c>
      <c r="G9" s="5" t="s">
        <v>147</v>
      </c>
      <c r="H9" s="5" t="s">
        <v>148</v>
      </c>
      <c r="I9" s="4"/>
      <c r="J9" s="4" t="s">
        <v>124</v>
      </c>
      <c r="K9" s="4"/>
      <c r="L9" s="4" t="n">
        <f aca="false">COUNTIF(I9:K9,"✓")</f>
        <v>1</v>
      </c>
      <c r="M9" s="4" t="s">
        <v>14</v>
      </c>
    </row>
    <row r="10" customFormat="false" ht="23.85" hidden="false" customHeight="false" outlineLevel="0" collapsed="false">
      <c r="A10" s="4" t="s">
        <v>149</v>
      </c>
      <c r="B10" s="5" t="s">
        <v>150</v>
      </c>
      <c r="C10" s="5" t="s">
        <v>18</v>
      </c>
      <c r="D10" s="5" t="s">
        <v>151</v>
      </c>
      <c r="E10" s="4" t="s">
        <v>128</v>
      </c>
      <c r="F10" s="4" t="s">
        <v>135</v>
      </c>
      <c r="G10" s="5" t="s">
        <v>152</v>
      </c>
      <c r="H10" s="5" t="s">
        <v>148</v>
      </c>
      <c r="I10" s="4"/>
      <c r="J10" s="4" t="s">
        <v>124</v>
      </c>
      <c r="K10" s="4" t="s">
        <v>124</v>
      </c>
      <c r="L10" s="4" t="n">
        <f aca="false">COUNTIF(I10:K10,"✓")</f>
        <v>2</v>
      </c>
      <c r="M10" s="4" t="s">
        <v>14</v>
      </c>
    </row>
    <row r="11" customFormat="false" ht="15" hidden="false" customHeight="false" outlineLevel="0" collapsed="false">
      <c r="A11" s="4" t="s">
        <v>153</v>
      </c>
      <c r="B11" s="5" t="s">
        <v>154</v>
      </c>
      <c r="C11" s="5" t="s">
        <v>21</v>
      </c>
      <c r="D11" s="5" t="s">
        <v>155</v>
      </c>
      <c r="E11" s="4" t="s">
        <v>128</v>
      </c>
      <c r="F11" s="4" t="s">
        <v>129</v>
      </c>
      <c r="G11" s="5" t="s">
        <v>156</v>
      </c>
      <c r="H11" s="5" t="s">
        <v>157</v>
      </c>
      <c r="I11" s="4" t="s">
        <v>124</v>
      </c>
      <c r="J11" s="4" t="s">
        <v>124</v>
      </c>
      <c r="K11" s="4" t="s">
        <v>124</v>
      </c>
      <c r="L11" s="4" t="n">
        <f aca="false">COUNTIF(I11:K11,"✓")</f>
        <v>3</v>
      </c>
      <c r="M11" s="4" t="s">
        <v>14</v>
      </c>
    </row>
    <row r="12" customFormat="false" ht="15" hidden="false" customHeight="false" outlineLevel="0" collapsed="false">
      <c r="A12" s="4" t="s">
        <v>158</v>
      </c>
      <c r="B12" s="5" t="s">
        <v>159</v>
      </c>
      <c r="C12" s="5" t="s">
        <v>21</v>
      </c>
      <c r="D12" s="5" t="s">
        <v>160</v>
      </c>
      <c r="E12" s="4" t="s">
        <v>128</v>
      </c>
      <c r="F12" s="4" t="s">
        <v>129</v>
      </c>
      <c r="G12" s="5" t="s">
        <v>161</v>
      </c>
      <c r="H12" s="5" t="s">
        <v>157</v>
      </c>
      <c r="I12" s="4" t="s">
        <v>124</v>
      </c>
      <c r="J12" s="4" t="s">
        <v>124</v>
      </c>
      <c r="K12" s="4" t="s">
        <v>124</v>
      </c>
      <c r="L12" s="4" t="n">
        <f aca="false">COUNTIF(I12:K12,"✓")</f>
        <v>3</v>
      </c>
      <c r="M12" s="4" t="s">
        <v>14</v>
      </c>
    </row>
    <row r="13" customFormat="false" ht="23.85" hidden="false" customHeight="false" outlineLevel="0" collapsed="false">
      <c r="A13" s="4" t="s">
        <v>162</v>
      </c>
      <c r="B13" s="5" t="s">
        <v>163</v>
      </c>
      <c r="C13" s="5" t="s">
        <v>23</v>
      </c>
      <c r="D13" s="5" t="s">
        <v>164</v>
      </c>
      <c r="E13" s="4" t="s">
        <v>128</v>
      </c>
      <c r="F13" s="4" t="s">
        <v>129</v>
      </c>
      <c r="G13" s="5" t="s">
        <v>165</v>
      </c>
      <c r="H13" s="5" t="s">
        <v>166</v>
      </c>
      <c r="I13" s="4"/>
      <c r="J13" s="4"/>
      <c r="K13" s="4" t="s">
        <v>124</v>
      </c>
      <c r="L13" s="4" t="n">
        <f aca="false">COUNTIF(I13:K13,"✓")</f>
        <v>1</v>
      </c>
      <c r="M13" s="4" t="s">
        <v>74</v>
      </c>
    </row>
    <row r="14" customFormat="false" ht="23.85" hidden="false" customHeight="false" outlineLevel="0" collapsed="false">
      <c r="A14" s="4" t="s">
        <v>167</v>
      </c>
      <c r="B14" s="5" t="s">
        <v>168</v>
      </c>
      <c r="C14" s="5" t="s">
        <v>25</v>
      </c>
      <c r="D14" s="5" t="s">
        <v>169</v>
      </c>
      <c r="E14" s="4" t="s">
        <v>121</v>
      </c>
      <c r="F14" s="4" t="s">
        <v>14</v>
      </c>
      <c r="G14" s="5" t="s">
        <v>170</v>
      </c>
      <c r="H14" s="5" t="s">
        <v>171</v>
      </c>
      <c r="I14" s="4" t="s">
        <v>124</v>
      </c>
      <c r="J14" s="4" t="s">
        <v>124</v>
      </c>
      <c r="K14" s="4" t="s">
        <v>124</v>
      </c>
      <c r="L14" s="4" t="n">
        <f aca="false">COUNTIF(I14:K14,"✓")</f>
        <v>3</v>
      </c>
      <c r="M14" s="4" t="s">
        <v>14</v>
      </c>
    </row>
    <row r="15" customFormat="false" ht="23.85" hidden="false" customHeight="false" outlineLevel="0" collapsed="false">
      <c r="A15" s="4" t="s">
        <v>172</v>
      </c>
      <c r="B15" s="5" t="s">
        <v>173</v>
      </c>
      <c r="C15" s="5" t="s">
        <v>25</v>
      </c>
      <c r="D15" s="5" t="s">
        <v>174</v>
      </c>
      <c r="E15" s="4" t="s">
        <v>128</v>
      </c>
      <c r="F15" s="4" t="s">
        <v>129</v>
      </c>
      <c r="G15" s="5" t="s">
        <v>175</v>
      </c>
      <c r="H15" s="5" t="s">
        <v>171</v>
      </c>
      <c r="I15" s="4" t="s">
        <v>124</v>
      </c>
      <c r="J15" s="4"/>
      <c r="K15" s="4" t="s">
        <v>124</v>
      </c>
      <c r="L15" s="4" t="n">
        <f aca="false">COUNTIF(I15:K15,"✓")</f>
        <v>2</v>
      </c>
      <c r="M15" s="4" t="s">
        <v>74</v>
      </c>
    </row>
  </sheetData>
  <autoFilter ref="A4:M15"/>
  <conditionalFormatting sqref="A5:M15">
    <cfRule type="expression" priority="2" aboveAverage="0" equalAverage="0" bottom="0" percent="0" rank="0" text="" dxfId="7">
      <formula>$E5="Oportunidad"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2"/>
    <col collapsed="false" customWidth="true" hidden="false" outlineLevel="0" max="3" min="3" style="0" width="58"/>
    <col collapsed="false" customWidth="true" hidden="false" outlineLevel="0" max="4" min="4" style="0" width="30"/>
    <col collapsed="false" customWidth="true" hidden="false" outlineLevel="0" max="5" min="5" style="0" width="52"/>
    <col collapsed="false" customWidth="true" hidden="false" outlineLevel="0" max="6" min="6" style="0" width="34"/>
    <col collapsed="false" customWidth="true" hidden="false" outlineLevel="0" max="7" min="7" style="0" width="10"/>
    <col collapsed="false" customWidth="true" hidden="false" outlineLevel="0" max="8" min="8" style="0" width="15"/>
    <col collapsed="false" customWidth="true" hidden="false" outlineLevel="0" max="9" min="9" style="0" width="22"/>
    <col collapsed="false" customWidth="true" hidden="false" outlineLevel="0" max="12" min="10" style="0" width="10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176</v>
      </c>
    </row>
    <row r="2" customFormat="false" ht="15" hidden="false" customHeight="false" outlineLevel="0" collapsed="false">
      <c r="A2" s="2" t="s">
        <v>177</v>
      </c>
    </row>
    <row r="4" customFormat="false" ht="15" hidden="false" customHeight="false" outlineLevel="0" collapsed="false">
      <c r="A4" s="3" t="s">
        <v>178</v>
      </c>
      <c r="B4" s="3" t="s">
        <v>179</v>
      </c>
      <c r="C4" s="3" t="s">
        <v>180</v>
      </c>
      <c r="D4" s="3" t="s">
        <v>181</v>
      </c>
      <c r="E4" s="3" t="s">
        <v>182</v>
      </c>
      <c r="F4" s="3" t="s">
        <v>183</v>
      </c>
      <c r="G4" s="3" t="s">
        <v>184</v>
      </c>
      <c r="H4" s="3" t="s">
        <v>185</v>
      </c>
      <c r="I4" s="3" t="s">
        <v>186</v>
      </c>
      <c r="J4" s="3" t="s">
        <v>49</v>
      </c>
      <c r="K4" s="3" t="s">
        <v>74</v>
      </c>
      <c r="L4" s="3" t="s">
        <v>92</v>
      </c>
      <c r="M4" s="3" t="s">
        <v>187</v>
      </c>
    </row>
    <row r="5" customFormat="false" ht="35.05" hidden="false" customHeight="false" outlineLevel="0" collapsed="false">
      <c r="A5" s="4" t="s">
        <v>123</v>
      </c>
      <c r="B5" s="5" t="s">
        <v>188</v>
      </c>
      <c r="C5" s="5" t="s">
        <v>189</v>
      </c>
      <c r="D5" s="5" t="s">
        <v>190</v>
      </c>
      <c r="E5" s="5" t="s">
        <v>191</v>
      </c>
      <c r="F5" s="5" t="s">
        <v>11</v>
      </c>
      <c r="G5" s="4" t="s">
        <v>14</v>
      </c>
      <c r="H5" s="4" t="s">
        <v>192</v>
      </c>
      <c r="I5" s="5" t="s">
        <v>118</v>
      </c>
      <c r="J5" s="4" t="s">
        <v>124</v>
      </c>
      <c r="K5" s="4" t="s">
        <v>124</v>
      </c>
      <c r="L5" s="4" t="s">
        <v>124</v>
      </c>
      <c r="M5" s="4" t="n">
        <f aca="false">COUNTIF(J5:L5,"✓")</f>
        <v>3</v>
      </c>
    </row>
    <row r="6" customFormat="false" ht="23.85" hidden="false" customHeight="false" outlineLevel="0" collapsed="false">
      <c r="A6" s="4" t="s">
        <v>131</v>
      </c>
      <c r="B6" s="5" t="s">
        <v>193</v>
      </c>
      <c r="C6" s="5" t="s">
        <v>194</v>
      </c>
      <c r="D6" s="5" t="s">
        <v>195</v>
      </c>
      <c r="E6" s="5" t="s">
        <v>130</v>
      </c>
      <c r="F6" s="5" t="s">
        <v>16</v>
      </c>
      <c r="G6" s="4" t="s">
        <v>14</v>
      </c>
      <c r="H6" s="4" t="s">
        <v>192</v>
      </c>
      <c r="I6" s="5" t="s">
        <v>125</v>
      </c>
      <c r="J6" s="4" t="s">
        <v>124</v>
      </c>
      <c r="K6" s="4" t="s">
        <v>124</v>
      </c>
      <c r="L6" s="4" t="s">
        <v>124</v>
      </c>
      <c r="M6" s="4" t="n">
        <f aca="false">COUNTIF(J6:L6,"✓")</f>
        <v>3</v>
      </c>
    </row>
    <row r="7" customFormat="false" ht="23.85" hidden="false" customHeight="false" outlineLevel="0" collapsed="false">
      <c r="A7" s="4" t="s">
        <v>137</v>
      </c>
      <c r="B7" s="5" t="s">
        <v>196</v>
      </c>
      <c r="C7" s="5" t="s">
        <v>197</v>
      </c>
      <c r="D7" s="5" t="s">
        <v>198</v>
      </c>
      <c r="E7" s="5" t="s">
        <v>199</v>
      </c>
      <c r="F7" s="5" t="s">
        <v>16</v>
      </c>
      <c r="G7" s="4" t="s">
        <v>14</v>
      </c>
      <c r="H7" s="4" t="s">
        <v>192</v>
      </c>
      <c r="I7" s="5" t="s">
        <v>200</v>
      </c>
      <c r="J7" s="4" t="s">
        <v>124</v>
      </c>
      <c r="K7" s="4"/>
      <c r="L7" s="4" t="s">
        <v>124</v>
      </c>
      <c r="M7" s="4" t="n">
        <f aca="false">COUNTIF(J7:L7,"✓")</f>
        <v>2</v>
      </c>
    </row>
    <row r="8" customFormat="false" ht="23.85" hidden="false" customHeight="false" outlineLevel="0" collapsed="false">
      <c r="A8" s="4" t="s">
        <v>201</v>
      </c>
      <c r="B8" s="5" t="s">
        <v>202</v>
      </c>
      <c r="C8" s="5" t="s">
        <v>203</v>
      </c>
      <c r="D8" s="5" t="s">
        <v>204</v>
      </c>
      <c r="E8" s="5" t="s">
        <v>141</v>
      </c>
      <c r="F8" s="5" t="s">
        <v>16</v>
      </c>
      <c r="G8" s="4" t="s">
        <v>14</v>
      </c>
      <c r="H8" s="4" t="s">
        <v>192</v>
      </c>
      <c r="I8" s="5" t="s">
        <v>205</v>
      </c>
      <c r="J8" s="4" t="s">
        <v>124</v>
      </c>
      <c r="K8" s="4"/>
      <c r="L8" s="4" t="s">
        <v>124</v>
      </c>
      <c r="M8" s="4" t="n">
        <f aca="false">COUNTIF(J8:L8,"✓")</f>
        <v>2</v>
      </c>
    </row>
    <row r="9" customFormat="false" ht="23.85" hidden="false" customHeight="false" outlineLevel="0" collapsed="false">
      <c r="A9" s="4" t="s">
        <v>148</v>
      </c>
      <c r="B9" s="5" t="s">
        <v>206</v>
      </c>
      <c r="C9" s="5" t="s">
        <v>207</v>
      </c>
      <c r="D9" s="5" t="s">
        <v>208</v>
      </c>
      <c r="E9" s="5" t="s">
        <v>209</v>
      </c>
      <c r="F9" s="5" t="s">
        <v>18</v>
      </c>
      <c r="G9" s="4" t="s">
        <v>14</v>
      </c>
      <c r="H9" s="4" t="s">
        <v>192</v>
      </c>
      <c r="I9" s="5" t="s">
        <v>210</v>
      </c>
      <c r="J9" s="4"/>
      <c r="K9" s="4" t="s">
        <v>124</v>
      </c>
      <c r="L9" s="4" t="s">
        <v>124</v>
      </c>
      <c r="M9" s="4" t="n">
        <f aca="false">COUNTIF(J9:L9,"✓")</f>
        <v>2</v>
      </c>
    </row>
    <row r="10" customFormat="false" ht="23.85" hidden="false" customHeight="false" outlineLevel="0" collapsed="false">
      <c r="A10" s="4" t="s">
        <v>157</v>
      </c>
      <c r="B10" s="5" t="s">
        <v>211</v>
      </c>
      <c r="C10" s="5" t="s">
        <v>212</v>
      </c>
      <c r="D10" s="5" t="s">
        <v>213</v>
      </c>
      <c r="E10" s="5" t="s">
        <v>214</v>
      </c>
      <c r="F10" s="5" t="s">
        <v>21</v>
      </c>
      <c r="G10" s="4" t="s">
        <v>14</v>
      </c>
      <c r="H10" s="4" t="s">
        <v>192</v>
      </c>
      <c r="I10" s="5" t="s">
        <v>215</v>
      </c>
      <c r="J10" s="4" t="s">
        <v>124</v>
      </c>
      <c r="K10" s="4" t="s">
        <v>124</v>
      </c>
      <c r="L10" s="4" t="s">
        <v>124</v>
      </c>
      <c r="M10" s="4" t="n">
        <f aca="false">COUNTIF(J10:L10,"✓")</f>
        <v>3</v>
      </c>
    </row>
    <row r="11" customFormat="false" ht="23.85" hidden="false" customHeight="false" outlineLevel="0" collapsed="false">
      <c r="A11" s="4" t="s">
        <v>166</v>
      </c>
      <c r="B11" s="5" t="s">
        <v>216</v>
      </c>
      <c r="C11" s="5" t="s">
        <v>217</v>
      </c>
      <c r="D11" s="5" t="s">
        <v>218</v>
      </c>
      <c r="E11" s="5" t="s">
        <v>165</v>
      </c>
      <c r="F11" s="5" t="s">
        <v>23</v>
      </c>
      <c r="G11" s="4" t="s">
        <v>14</v>
      </c>
      <c r="H11" s="4" t="s">
        <v>192</v>
      </c>
      <c r="I11" s="5" t="s">
        <v>162</v>
      </c>
      <c r="J11" s="4"/>
      <c r="K11" s="4"/>
      <c r="L11" s="4" t="s">
        <v>124</v>
      </c>
      <c r="M11" s="4" t="n">
        <f aca="false">COUNTIF(J11:L11,"✓")</f>
        <v>1</v>
      </c>
    </row>
    <row r="12" customFormat="false" ht="23.85" hidden="false" customHeight="false" outlineLevel="0" collapsed="false">
      <c r="A12" s="4" t="s">
        <v>171</v>
      </c>
      <c r="B12" s="5" t="s">
        <v>219</v>
      </c>
      <c r="C12" s="5" t="s">
        <v>220</v>
      </c>
      <c r="D12" s="5" t="s">
        <v>221</v>
      </c>
      <c r="E12" s="5" t="s">
        <v>222</v>
      </c>
      <c r="F12" s="5" t="s">
        <v>25</v>
      </c>
      <c r="G12" s="4" t="s">
        <v>14</v>
      </c>
      <c r="H12" s="4" t="s">
        <v>192</v>
      </c>
      <c r="I12" s="5" t="s">
        <v>223</v>
      </c>
      <c r="J12" s="4" t="s">
        <v>124</v>
      </c>
      <c r="K12" s="4" t="s">
        <v>124</v>
      </c>
      <c r="L12" s="4" t="s">
        <v>124</v>
      </c>
      <c r="M12" s="4" t="n">
        <f aca="false">COUNTIF(J12:L12,"✓")</f>
        <v>3</v>
      </c>
    </row>
  </sheetData>
  <autoFilter ref="A4:M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2026-10-29T11:13:06Z</dcterms:created>
  <dc:creator>openpyxl</dc:creator>
  <dc:description/>
  <dc:language>en-US</dc:language>
  <cp:lastModifiedBy/>
  <dcterms:modified xsi:type="dcterms:W3CDTF">2026-10-29T11:13:07Z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