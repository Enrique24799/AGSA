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Procesos" sheetId="2" state="visible" r:id="rId4"/>
    <sheet name="RACI" sheetId="3" state="visible" r:id="rId5"/>
    <sheet name="Roles" sheetId="4" state="visible" r:id="rId6"/>
    <sheet name="Asignación" sheetId="5" state="visible" r:id="rId7"/>
    <sheet name="Organigramas" sheetId="6" state="visible" r:id="rId8"/>
    <sheet name="Empresas" sheetId="7" state="visible" r:id="rId9"/>
    <sheet name="Políticas" sheetId="8" state="visible" r:id="rId10"/>
    <sheet name="KPIs" sheetId="9" state="visible" r:id="rId11"/>
    <sheet name="Reuniones" sheetId="10" state="visible" r:id="rId12"/>
    <sheet name="Decisiones" sheetId="11" state="visible" r:id="rId13"/>
    <sheet name="Plan" sheetId="12" state="visible" r:id="rId14"/>
  </sheets>
  <definedNames>
    <definedName function="false" hidden="true" localSheetId="5" name="_xlnm._FilterDatabase" vbProcedure="false">Organigramas!$A$1:$L$60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<sst xmlns="http://schemas.openxmlformats.org/spreadsheetml/2006/main" count="1712" uniqueCount="596">
  <si>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</si>
  <si>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</si>
  <si>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</si>
  <si>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Propuesta inicial</t>
  </si>
  <si>
    <t xml:space="preserve">Generado</t>
  </si>
  <si>
    <t xml:space="preserve">07/10/2026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</si>
  <si>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</si>
  <si>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</si>
  <si>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</si>
  <si>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</si>
  <si>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</si>
  <si>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</si>
  <si>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RACI</t>
  </si>
  <si>
    <t xml:space="preserve">Matriz RACI por rol, con revisión automática de cada fila</t>
  </si>
  <si>
    <t xml:space="preserve">filas correctas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</si>
  <si>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</si>
  <si>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</si>
  <si>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</si>
  <si>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</si>
  <si>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</si>
  <si>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</si>
  <si>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Organigramas</t>
  </si>
  <si>
    <t xml:space="preserve">Organigramas as-is y to-be de cada empresa: puesto, persona y dependencias</t>
  </si>
  <si>
    <t xml:space="preserve">puestos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</si>
  <si>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</si>
  <si>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</si>
  <si>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</si>
  <si>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</si>
  <si>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</si>
  <si>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</si>
  <si>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</si>
  <si>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</si>
  <si>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</si>
  <si>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</si>
  <si>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</si>
  <si>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</si>
  <si>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</si>
  <si>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</si>
  <si>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</si>
  <si>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</si>
  <si>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</si>
  <si>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</si>
  <si>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</si>
  <si>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</si>
  <si>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</si>
  <si>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</si>
  <si>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</si>
  <si>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</si>
  <si>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</si>
  <si>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</si>
  <si>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</si>
  <si>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</si>
  <si>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Proceso</t>
  </si>
  <si>
    <t xml:space="preserve">ID</t>
  </si>
  <si>
    <t xml:space="preserve">Actividad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</si>
  <si>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</si>
  <si>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</si>
  <si>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</si>
  <si>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</si>
  <si>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Gobierno y S&amp;OP</t>
  </si>
  <si>
    <t xml:space="preserve">G.1</t>
  </si>
  <si>
    <t xml:space="preserve">Modelo de procesos y manual de planificación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</si>
  <si>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</si>
  <si>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</si>
  <si>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</si>
  <si>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</si>
  <si>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G.2</t>
  </si>
  <si>
    <t xml:space="preserve">Políticas de planificación</t>
  </si>
  <si>
    <t xml:space="preserve">MTS/MTO, stock de seguridad, horizonte congelado, prioridades, lotes, mínimos y máximos.</t>
  </si>
  <si>
    <t xml:space="preserve">Trimestral</t>
  </si>
  <si>
    <t xml:space="preserve">G.3</t>
  </si>
  <si>
    <t xml:space="preserve">S&amp;OP mensual del grupo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</si>
  <si>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</si>
  <si>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</si>
  <si>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</si>
  <si>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G.4</t>
  </si>
  <si>
    <t xml:space="preserve">Objetivos y revisión de KPIs</t>
  </si>
  <si>
    <t xml:space="preserve">Fijar objetivos por planta y revisar el cuadro de mando común.</t>
  </si>
  <si>
    <t xml:space="preserve">G.5</t>
  </si>
  <si>
    <t xml:space="preserve">Roles, personas, suplencias y formación</t>
  </si>
  <si>
    <t xml:space="preserve">Asignar cada rol con nombre y apellidos, con titular y suplente, y su plan de formación.</t>
  </si>
  <si>
    <t xml:space="preserve">G.6</t>
  </si>
  <si>
    <t xml:space="preserve">Gestión de cambios y prioridad de desarrollos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</si>
  <si>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</si>
  <si>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</si>
  <si>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</si>
  <si>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Dato maestro</t>
  </si>
  <si>
    <t xml:space="preserve">1.1</t>
  </si>
  <si>
    <t xml:space="preserve">Datos de planificación del material</t>
  </si>
  <si>
    <t xml:space="preserve">Altas y mantenimiento de los datos que usa la planificación (unidades, rutas, máquinas por defecto).</t>
  </si>
  <si>
    <t xml:space="preserve">Diaria</t>
  </si>
  <si>
    <t xml:space="preserve">Responsable de dato maestro</t>
  </si>
  <si>
    <t xml:space="preserve">1.2</t>
  </si>
  <si>
    <t xml:space="preserve">Segmentación ABC/XYZ y estrategia MTS/MTO</t>
  </si>
  <si>
    <t xml:space="preserve">Clasificar materiales y asignar su estrategia de planificación con criterio común.</t>
  </si>
  <si>
    <t xml:space="preserve">1.3</t>
  </si>
  <si>
    <t xml:space="preserve">Velocidades, tiempos de cambio y rutas</t>
  </si>
  <si>
    <t xml:space="preserve">Mantener los estándares de máquina a partir de los datos reales registrados.</t>
  </si>
  <si>
    <t xml:space="preserve">Responsable de dato maestro, Programador/a de producción</t>
  </si>
  <si>
    <t xml:space="preserve">1.4</t>
  </si>
  <si>
    <t xml:space="preserve">Calendario de turnos, días y paradas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</si>
  <si>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</si>
  <si>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</si>
  <si>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</si>
  <si>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1.5</t>
  </si>
  <si>
    <t xml:space="preserve">Auditoría de calidad del dato</t>
  </si>
  <si>
    <t xml:space="preserve">Detectar duplicados, datos incompletos e incoherencias y corregirlos.</t>
  </si>
  <si>
    <t xml:space="preserve">Demanda</t>
  </si>
  <si>
    <t xml:space="preserve">2.1</t>
  </si>
  <si>
    <t xml:space="preserve">Previsión de demanda</t>
  </si>
  <si>
    <t xml:space="preserve">Generar y ajustar la previsión por material o familia.</t>
  </si>
  <si>
    <t xml:space="preserve">Planificador/a de demanda y cartera</t>
  </si>
  <si>
    <t xml:space="preserve">2.2</t>
  </si>
  <si>
    <t xml:space="preserve">Consenso de la previsión con Comercial</t>
  </si>
  <si>
    <t xml:space="preserve">Revisar la previsión con Comercial y cerrar el plan de demanda.</t>
  </si>
  <si>
    <t xml:space="preserve">2.3</t>
  </si>
  <si>
    <t xml:space="preserve">Demanda perdida (agotados)</t>
  </si>
  <si>
    <t xml:space="preserve">Registrar los pedidos que no entran por falta de stock, precio u otros motivos.</t>
  </si>
  <si>
    <t xml:space="preserve">2.4</t>
  </si>
  <si>
    <t xml:space="preserve">Precisión y sesgo de la previsión</t>
  </si>
  <si>
    <t xml:space="preserve">Medir el error de la previsión y corregir sus causas.</t>
  </si>
  <si>
    <t xml:space="preserve">Cartera</t>
  </si>
  <si>
    <t xml:space="preserve">3.1</t>
  </si>
  <si>
    <t xml:space="preserve">Revisión diaria de la cartera</t>
  </si>
  <si>
    <t xml:space="preserve">Pendiente, stock disponible y cargas de cada pedido.</t>
  </si>
  <si>
    <t xml:space="preserve">3.2</t>
  </si>
  <si>
    <t xml:space="preserve">Cargas vinculadas a pedidos</t>
  </si>
  <si>
    <t xml:space="preserve">Asociar cada carga o expedición a su pedido.</t>
  </si>
  <si>
    <t xml:space="preserve">Logística / Expediciones</t>
  </si>
  <si>
    <t xml:space="preserve">3.3</t>
  </si>
  <si>
    <t xml:space="preserve">Cierre (saldado) de pedidos</t>
  </si>
  <si>
    <t xml:space="preserve">Cerrar los pedidos completados o anulados.</t>
  </si>
  <si>
    <t xml:space="preserve">3.4</t>
  </si>
  <si>
    <t xml:space="preserve">Prioridad de pedidos en conflicto</t>
  </si>
  <si>
    <t xml:space="preserve">Decidir qué se sirve primero cuando no llega para todo; los conflictos entre plantas van a S&amp;OP.</t>
  </si>
  <si>
    <t xml:space="preserve">Necesidades</t>
  </si>
  <si>
    <t xml:space="preserve">4.1</t>
  </si>
  <si>
    <t xml:space="preserve">Ejecución y revisión del MRP</t>
  </si>
  <si>
    <t xml:space="preserve">Lanzar el MRP y revisar sus propuestas y excepciones.</t>
  </si>
  <si>
    <t xml:space="preserve">Planificador/a de materiales</t>
  </si>
  <si>
    <t xml:space="preserve">4.2</t>
  </si>
  <si>
    <t xml:space="preserve">Propuesta de fabricación de producto terminado</t>
  </si>
  <si>
    <t xml:space="preserve">Qué fabricar según previsión, cartera, stock y órdenes ya lanzadas (MTS y MTO).</t>
  </si>
  <si>
    <t xml:space="preserve">4.3</t>
  </si>
  <si>
    <t xml:space="preserve">Necesidades de semielaborado</t>
  </si>
  <si>
    <t xml:space="preserve">Bobina, lámina o cartón necesarios para el producto terminado planificado.</t>
  </si>
  <si>
    <t xml:space="preserve">4.4</t>
  </si>
  <si>
    <t xml:space="preserve">Necesidades de materias primas y auxiliares</t>
  </si>
  <si>
    <t xml:space="preserve">Cálculo de necesidades y traslado a Compras.</t>
  </si>
  <si>
    <t xml:space="preserve">Capacidad</t>
  </si>
  <si>
    <t xml:space="preserve">5.1</t>
  </si>
  <si>
    <t xml:space="preserve">Carga de capacidad y saturación por línea</t>
  </si>
  <si>
    <t xml:space="preserve">% de ocupación de cada máquina según lo lanzado y la previsión.</t>
  </si>
  <si>
    <t xml:space="preserve">5.2</t>
  </si>
  <si>
    <t xml:space="preserve">Balanceo entre líneas y plantas</t>
  </si>
  <si>
    <t xml:space="preserve">Mover carga entre máquinas o plantas con antelación.</t>
  </si>
  <si>
    <t xml:space="preserve">5.3</t>
  </si>
  <si>
    <t xml:space="preserve">Saturación de almacenes</t>
  </si>
  <si>
    <t xml:space="preserve">Proyección de ocupación de almacén de semielaborado y producto terminado.</t>
  </si>
  <si>
    <t xml:space="preserve">Programación</t>
  </si>
  <si>
    <t xml:space="preserve">6.1</t>
  </si>
  <si>
    <t xml:space="preserve">Plan de producción semanal</t>
  </si>
  <si>
    <t xml:space="preserve">Plan congelado de la semana, aprobado por la planta.</t>
  </si>
  <si>
    <t xml:space="preserve">6.2</t>
  </si>
  <si>
    <t xml:space="preserve">Secuenciación, ciclos y combinación</t>
  </si>
  <si>
    <t xml:space="preserve">Orden de fabricación que minimiza cambios (moldes, calidades, combinaciones).</t>
  </si>
  <si>
    <t xml:space="preserve">6.3</t>
  </si>
  <si>
    <t xml:space="preserve">Lanzamiento de órdenes a máquina</t>
  </si>
  <si>
    <t xml:space="preserve">Liberar las órdenes a producción.</t>
  </si>
  <si>
    <t xml:space="preserve">6.4</t>
  </si>
  <si>
    <t xml:space="preserve">Replanificación ante incidencias</t>
  </si>
  <si>
    <t xml:space="preserve">Averías, faltas de material o urgencias.</t>
  </si>
  <si>
    <t xml:space="preserve">6.5</t>
  </si>
  <si>
    <t xml:space="preserve">Cronograma de cambios</t>
  </si>
  <si>
    <t xml:space="preserve">Proyección de cambios de molde, formato o calidad por máquina.</t>
  </si>
  <si>
    <t xml:space="preserve">Entrega</t>
  </si>
  <si>
    <t xml:space="preserve">7.1</t>
  </si>
  <si>
    <t xml:space="preserve">Compromiso de fecha al cliente</t>
  </si>
  <si>
    <t xml:space="preserve">Consulta de plazos sobre la capacidad real (CTP).</t>
  </si>
  <si>
    <t xml:space="preserve">7.2</t>
  </si>
  <si>
    <t xml:space="preserve">Reserva de stock a pedidos</t>
  </si>
  <si>
    <t xml:space="preserve">Asignar el stock disponible a cada pedido por fechas.</t>
  </si>
  <si>
    <t xml:space="preserve">7.3</t>
  </si>
  <si>
    <t xml:space="preserve">Retrasos y aviso al cliente</t>
  </si>
  <si>
    <t xml:space="preserve">Detectar retrasos y avisar al cliente antes de que ocurran.</t>
  </si>
  <si>
    <t xml:space="preserve">Planificador/a de demanda y cartera, Comercial / Atención al cliente</t>
  </si>
  <si>
    <t xml:space="preserve">7.4</t>
  </si>
  <si>
    <t xml:space="preserve">Coordinación con expediciones</t>
  </si>
  <si>
    <t xml:space="preserve">Que lo planificado salga en la fecha comprometida.</t>
  </si>
  <si>
    <t xml:space="preserve">Planificador/a de demanda y cartera, Logística / Expediciones</t>
  </si>
  <si>
    <t xml:space="preserve">Control</t>
  </si>
  <si>
    <t xml:space="preserve">8.1</t>
  </si>
  <si>
    <t xml:space="preserve">Plan frente a real (adherencia)</t>
  </si>
  <si>
    <t xml:space="preserve">Seguimiento de lo producido frente a lo planificado.</t>
  </si>
  <si>
    <t xml:space="preserve">8.2</t>
  </si>
  <si>
    <t xml:space="preserve">OEE y rendimiento por máquina</t>
  </si>
  <si>
    <t xml:space="preserve">Disponibilidad, rendimiento y calidad.</t>
  </si>
  <si>
    <t xml:space="preserve">Dirección de planta</t>
  </si>
  <si>
    <t xml:space="preserve">Producción (jefes de turno)</t>
  </si>
  <si>
    <t xml:space="preserve">8.3</t>
  </si>
  <si>
    <t xml:space="preserve">Balance de masas</t>
  </si>
  <si>
    <t xml:space="preserve">Consumos reales frente a teóricos para detectar descuadres de stock.</t>
  </si>
  <si>
    <t xml:space="preserve">8.4</t>
  </si>
  <si>
    <t xml:space="preserve">Causa raíz de desviaciones</t>
  </si>
  <si>
    <t xml:space="preserve">Analizar por qué no se cumplió el plan y corregir el origen.</t>
  </si>
  <si>
    <t xml:space="preserve">Intercompany</t>
  </si>
  <si>
    <t xml:space="preserve">I.1</t>
  </si>
  <si>
    <t xml:space="preserve">Mapeo de materiales y mínimos/máximos</t>
  </si>
  <si>
    <t xml:space="preserve">Tabla de correspondencia cartonera ↔ papelera y puntos de pedido.</t>
  </si>
  <si>
    <t xml:space="preserve">Responsable de dato maestro, Planificador/a de materiales</t>
  </si>
  <si>
    <t xml:space="preserve">I.2</t>
  </si>
  <si>
    <t xml:space="preserve">Necesidad y pedidos de compra/venta</t>
  </si>
  <si>
    <t xml:space="preserve">Trigger de necesidad y pedidos de compra y venta mapeados.</t>
  </si>
  <si>
    <t xml:space="preserve">I.3</t>
  </si>
  <si>
    <t xml:space="preserve">Planificación en papelera contra pedidos de stock</t>
  </si>
  <si>
    <t xml:space="preserve">La papelera planifica contra stock y reserva el material para las cartoneras.</t>
  </si>
  <si>
    <t xml:space="preserve">I.4</t>
  </si>
  <si>
    <t xml:space="preserve">Recepciones y % de integración</t>
  </si>
  <si>
    <t xml:space="preserve">Seguimiento de lo recibido de MGT, PDA y Papresa.</t>
  </si>
  <si>
    <t xml:space="preserve">I.5</t>
  </si>
  <si>
    <t xml:space="preserve">Control y cierre de pedidos intercompany</t>
  </si>
  <si>
    <t xml:space="preserve">Apertura y cierre controlado de pedidos entre plantas.</t>
  </si>
  <si>
    <t xml:space="preserve">Matriz RACI</t>
  </si>
  <si>
    <t xml:space="preserve">CORPORATIVO</t>
  </si>
  <si>
    <t xml:space="preserve">PLANTA</t>
  </si>
  <si>
    <t xml:space="preserve">OTRAS ÁREAS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</si>
  <si>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</si>
  <si>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</si>
  <si>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</si>
  <si>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</si>
  <si>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Resp. planif. planta</t>
  </si>
  <si>
    <t xml:space="preserve">Demanda y cartera</t>
  </si>
  <si>
    <t xml:space="preserve">Materiales</t>
  </si>
  <si>
    <t xml:space="preserve">Dir. planta</t>
  </si>
  <si>
    <t xml:space="preserve">Comercial</t>
  </si>
  <si>
    <t xml:space="preserve">Producción</t>
  </si>
  <si>
    <t xml:space="preserve">Logística</t>
  </si>
  <si>
    <t xml:space="preserve">Compras</t>
  </si>
  <si>
    <t xml:space="preserve">Mantenimiento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</si>
  <si>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</si>
  <si>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</si>
  <si>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</si>
  <si>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</si>
  <si>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</si>
  <si>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</si>
  <si>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</si>
  <si>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</si>
  <si>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</si>
  <si>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</si>
  <si>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</si>
  <si>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</si>
  <si>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</si>
  <si>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</si>
  <si>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</si>
  <si>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</si>
  <si>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</si>
  <si>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</si>
  <si>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</si>
  <si>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</si>
  <si>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</si>
  <si>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</si>
  <si>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</si>
  <si>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</si>
  <si>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</si>
  <si>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</si>
  <si>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</si>
  <si>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</si>
  <si>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</si>
  <si>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</si>
  <si>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</si>
  <si>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</si>
  <si>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</si>
  <si>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</si>
  <si>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</si>
  <si>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</si>
  <si>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</si>
  <si>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</si>
  <si>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</si>
  <si>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</si>
  <si>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</si>
  <si>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</si>
  <si>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</si>
  <si>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Asegura que semielaborado,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</si>
  <si>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</si>
  <si>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</si>
  <si>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</si>
  <si>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Otras áreas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</si>
  <si>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</si>
  <si>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</si>
  <si>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</si>
  <si>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</si>
  <si>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</si>
  <si>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</si>
  <si>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</si>
  <si>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</si>
  <si>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</si>
  <si>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</si>
  <si>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</si>
  <si>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turno.</t>
  </si>
  <si>
    <t xml:space="preserve">OEE · Adherencia al plan.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</si>
  <si>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</si>
  <si>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</si>
  <si>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</si>
  <si>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</si>
  <si>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</si>
  <si>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</si>
  <si>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</si>
  <si>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</si>
  <si>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Planifica las paradas y garantiza la disponibilidad de las máquinas.</t>
  </si>
  <si>
    <t xml:space="preserve">Calendario de paradas · Avisos de averías.</t>
  </si>
  <si>
    <t xml:space="preserve">Ventanas de mantenimiento.</t>
  </si>
  <si>
    <t xml:space="preserve">Disponibilidad.</t>
  </si>
  <si>
    <t xml:space="preserve">Empresa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</si>
  <si>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</si>
  <si>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</si>
  <si>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</si>
  <si>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</si>
  <si>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</si>
  <si>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Notas</t>
  </si>
  <si>
    <t xml:space="preserve">Corporativo · Planificación</t>
  </si>
  <si>
    <t xml:space="preserve">Enrique Tejada</t>
  </si>
  <si>
    <t xml:space="preserve">100 %</t>
  </si>
  <si>
    <t xml:space="preserve">Manuel Rodriguez</t>
  </si>
  <si>
    <t xml:space="preserve">Daniel Leal</t>
  </si>
  <si>
    <t xml:space="preserve">Jesus Amigo</t>
  </si>
  <si>
    <t xml:space="preserve">Vicente Hernandez</t>
  </si>
  <si>
    <t xml:space="preserve">Juan Trigo</t>
  </si>
  <si>
    <t xml:space="preserve">Ondupet</t>
  </si>
  <si>
    <t xml:space="preserve">Victoriano Perez</t>
  </si>
  <si>
    <t xml:space="preserve">30 %</t>
  </si>
  <si>
    <t xml:space="preserve">10 %</t>
  </si>
  <si>
    <t xml:space="preserve">Barbara Ayuste</t>
  </si>
  <si>
    <t xml:space="preserve">50 %</t>
  </si>
  <si>
    <t xml:space="preserve">Manuel Castro</t>
  </si>
  <si>
    <t xml:space="preserve">Manuel Jesus Trinidad</t>
  </si>
  <si>
    <t xml:space="preserve">Monica Gordillo</t>
  </si>
  <si>
    <t xml:space="preserve">20 %</t>
  </si>
  <si>
    <t xml:space="preserve">Jefes Turno</t>
  </si>
  <si>
    <t xml:space="preserve">Fernando Tolosa</t>
  </si>
  <si>
    <t xml:space="preserve">Antonio Nogales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</si>
  <si>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</si>
  <si>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</si>
  <si>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</si>
  <si>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</si>
  <si>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</si>
  <si>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En amarillo, los huecos por asignar (titular o suplente).</t>
  </si>
  <si>
    <t xml:space="preserve">Vista</t>
  </si>
  <si>
    <t xml:space="preserve">Nivel</t>
  </si>
  <si>
    <t xml:space="preserve">Puesto</t>
  </si>
  <si>
    <t xml:space="preserve">Persona</t>
  </si>
  <si>
    <t xml:space="preserve">Área</t>
  </si>
  <si>
    <t xml:space="preserve">Rol del modelo</t>
  </si>
  <si>
    <t xml:space="preserve">De otra empresa</t>
  </si>
  <si>
    <t xml:space="preserve">Depende de</t>
  </si>
  <si>
    <t xml:space="preserve">Dependencia funcional de</t>
  </si>
  <si>
    <t xml:space="preserve">% planificación</t>
  </si>
  <si>
    <t xml:space="preserve">As-is</t>
  </si>
  <si>
    <t xml:space="preserve">Responsable Planificacion</t>
  </si>
  <si>
    <t xml:space="preserve">Planificación</t>
  </si>
  <si>
    <t xml:space="preserve">      Responsable Técnico</t>
  </si>
  <si>
    <t xml:space="preserve">Responsable Planificacion · Enrique Tejada</t>
  </si>
  <si>
    <t xml:space="preserve">      Responsable Procesos</t>
  </si>
  <si>
    <t xml:space="preserve">Manuel Rodríguez</t>
  </si>
  <si>
    <t xml:space="preserve">            Programador .NET</t>
  </si>
  <si>
    <t xml:space="preserve">Responsable Procesos · Manuel Rodríguez</t>
  </si>
  <si>
    <t xml:space="preserve">Vicente Hernández</t>
  </si>
  <si>
    <t xml:space="preserve">            Nuevo puesto</t>
  </si>
  <si>
    <t xml:space="preserve">Vacante</t>
  </si>
  <si>
    <t xml:space="preserve">To-be</t>
  </si>
  <si>
    <t xml:space="preserve">Dirección General</t>
  </si>
  <si>
    <t xml:space="preserve">Dirección</t>
  </si>
  <si>
    <t xml:space="preserve">      Director/a de Planificación</t>
  </si>
  <si>
    <t xml:space="preserve">            Responsable de procesos (Functional Lead)</t>
  </si>
  <si>
    <t xml:space="preserve">            Responsable de dato maestro</t>
  </si>
  <si>
    <t xml:space="preserve">            Coordinador/a de S&amp;OP e intercompany</t>
  </si>
  <si>
    <t xml:space="preserve">            Technical Lead</t>
  </si>
  <si>
    <t xml:space="preserve">                  Solution Developer</t>
  </si>
  <si>
    <t xml:space="preserve">Technical Lead</t>
  </si>
  <si>
    <t xml:space="preserve">            Responsables de planificación de planta</t>
  </si>
  <si>
    <t xml:space="preserve">Uno por planta; ver el organigrama de cada empresa.</t>
  </si>
  <si>
    <t xml:space="preserve">Director Planta</t>
  </si>
  <si>
    <t xml:space="preserve">      Responsable Planificación</t>
  </si>
  <si>
    <t xml:space="preserve">Director Planta · Manuel Castro</t>
  </si>
  <si>
    <t xml:space="preserve">      Responsable Comercial</t>
  </si>
  <si>
    <t xml:space="preserve">            Comercial / Logística Externa</t>
  </si>
  <si>
    <t xml:space="preserve">Responsable Comercial · Manuel Jesus Trinidad</t>
  </si>
  <si>
    <t xml:space="preserve">      Responsable Compras</t>
  </si>
  <si>
    <t xml:space="preserve">            Gestor Compras</t>
  </si>
  <si>
    <t xml:space="preserve">Responsable Compras · Antonio Nogales</t>
  </si>
  <si>
    <t xml:space="preserve">      Responsable Produccion</t>
  </si>
  <si>
    <t xml:space="preserve">Juan Manuel Barroso</t>
  </si>
  <si>
    <t xml:space="preserve">            Jefes Turno</t>
  </si>
  <si>
    <t xml:space="preserve">Responsable Produccion · Juan Manuel Barroso</t>
  </si>
  <si>
    <t xml:space="preserve">Corporativo.</t>
  </si>
  <si>
    <t xml:space="preserve">      Responsable de planificación de planta</t>
  </si>
  <si>
    <t xml:space="preserve">Dependencia jerárquica de corporativo y funcional de la dirección de planta (opción A, pendiente de decisión).</t>
  </si>
  <si>
    <t xml:space="preserve">            Planificador/a de demanda y cartera</t>
  </si>
  <si>
    <t xml:space="preserve">            Programador/a de producción</t>
  </si>
  <si>
    <t xml:space="preserve">            Planificador/a de materiales</t>
  </si>
  <si>
    <t xml:space="preserve">Empresa / planta</t>
  </si>
  <si>
    <t xml:space="preserve">Tipo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</si>
  <si>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</si>
  <si>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</si>
  <si>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</si>
  <si>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</si>
  <si>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</si>
  <si>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</si>
  <si>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</t>
  </si>
  <si>
    <t xml:space="preserve">SAP · GIO · SIGPA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</si>
  <si>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</si>
  <si>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</si>
  <si>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</si>
  <si>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</si>
  <si>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</si>
  <si>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</si>
  <si>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</si>
  <si>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</si>
  <si>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</si>
  <si>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</si>
  <si>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</si>
  <si>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</si>
  <si>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</si>
  <si>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</si>
  <si>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</si>
  <si>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</si>
  <si>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</si>
  <si>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</si>
  <si>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</si>
  <si>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Responsable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</si>
  <si>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</si>
  <si>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</si>
  <si>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</si>
  <si>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</si>
  <si>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Propuesta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</si>
  <si>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</si>
  <si>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</si>
  <si>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</si>
  <si>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</si>
  <si>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</si>
  <si>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</si>
  <si>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</si>
  <si>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</si>
  <si>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</si>
  <si>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</si>
  <si>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</si>
  <si>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</si>
  <si>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</si>
  <si>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</si>
  <si>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</si>
  <si>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</si>
  <si>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</si>
  <si>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</si>
  <si>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</si>
  <si>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</si>
  <si>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</si>
  <si>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</si>
  <si>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</si>
  <si>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</si>
  <si>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</si>
  <si>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</si>
  <si>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</si>
  <si>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</si>
  <si>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</si>
  <si>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</si>
  <si>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</si>
  <si>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</si>
  <si>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</si>
  <si>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</si>
  <si>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</si>
  <si>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</si>
  <si>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</si>
  <si>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</si>
  <si>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</si>
  <si>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</si>
  <si>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</si>
  <si>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</si>
  <si>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</si>
  <si>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</si>
  <si>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</si>
  <si>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</si>
  <si>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</si>
  <si>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</si>
  <si>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</si>
  <si>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</si>
  <si>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</si>
  <si>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</si>
  <si>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</si>
  <si>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</si>
  <si>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</si>
  <si>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</si>
  <si>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</si>
  <si>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</si>
  <si>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</si>
  <si>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</si>
  <si>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</si>
  <si>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</si>
  <si>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</si>
  <si>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</si>
  <si>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</si>
  <si>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</si>
  <si>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</si>
  <si>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</si>
  <si>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</si>
  <si>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</si>
  <si>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</si>
  <si>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S&amp;OP ejecutivo del grupo</t>
  </si>
  <si>
    <t xml:space="preserve">Mensual (1.ª semana)</t>
  </si>
  <si>
    <t xml:space="preserve">90 min</t>
  </si>
  <si>
    <t xml:space="preserve">Dir. Planificación, S&amp;OP, responsables de planta, Comercial, Dirección General</t>
  </si>
  <si>
    <t xml:space="preserve">Plan de demanda consensuado, plan de suministro, KPIs</t>
  </si>
  <si>
    <t xml:space="preserve">Decisiones de capacidad, prioridades y riesgos</t>
  </si>
  <si>
    <t xml:space="preserve">Revisión de demanda</t>
  </si>
  <si>
    <t xml:space="preserve">60 min</t>
  </si>
  <si>
    <t xml:space="preserve">S&amp;OP, planificadores de demanda, Comercial</t>
  </si>
  <si>
    <t xml:space="preserve">Previsión, demanda perdida, precisión</t>
  </si>
  <si>
    <t xml:space="preserve">Plan de demanda consensuado</t>
  </si>
  <si>
    <t xml:space="preserve">Revisión de suministro</t>
  </si>
  <si>
    <t xml:space="preserve">S&amp;OP, responsables de planta, programación, materiales</t>
  </si>
  <si>
    <t xml:space="preserve">Carga de capacidad, coberturas, intercompany</t>
  </si>
  <si>
    <t xml:space="preserve">Plan de suministro y escalados</t>
  </si>
  <si>
    <t xml:space="preserve">Comité semanal de plan (por planta)</t>
  </si>
  <si>
    <t xml:space="preserve">45 min</t>
  </si>
  <si>
    <t xml:space="preserve">Responsable de planta, demanda y cartera, programación, materiales, Producción</t>
  </si>
  <si>
    <t xml:space="preserve">Cartera, carga, incidencias de la semana</t>
  </si>
  <si>
    <t xml:space="preserve">Plan semanal congelado</t>
  </si>
  <si>
    <t xml:space="preserve">Daily de planificación (por planta)</t>
  </si>
  <si>
    <t xml:space="preserve">15 min</t>
  </si>
  <si>
    <t xml:space="preserve">Demanda y cartera, programación, Producción</t>
  </si>
  <si>
    <t xml:space="preserve">Control de producción, roturas, urgencias</t>
  </si>
  <si>
    <t xml:space="preserve">Ajustes del día</t>
  </si>
  <si>
    <t xml:space="preserve">Revisión intercompany</t>
  </si>
  <si>
    <t xml:space="preserve">30 min</t>
  </si>
  <si>
    <t xml:space="preserve">S&amp;OP, materiales de las cartoneras, responsables de las papeleras</t>
  </si>
  <si>
    <t xml:space="preserve">Mínimos/máximos, pedidos abiertos, recepciones</t>
  </si>
  <si>
    <t xml:space="preserve">Acciones de suministro</t>
  </si>
  <si>
    <t xml:space="preserve">Comité de planificación corporativo</t>
  </si>
  <si>
    <t xml:space="preserve">Dir. Planificación, procesos, dato maestro, S&amp;OP, sistemas</t>
  </si>
  <si>
    <t xml:space="preserve">Avance del despliegue, cambios, peticiones de desarrollo</t>
  </si>
  <si>
    <t xml:space="preserve">Decisiones sobre el modelo y prioridades</t>
  </si>
  <si>
    <t xml:space="preserve">Auditoría de madurez</t>
  </si>
  <si>
    <t xml:space="preserve">2 h por planta</t>
  </si>
  <si>
    <t xml:space="preserve">Responsable de procesos, responsable de planta</t>
  </si>
  <si>
    <t xml:space="preserve">Notas de proceso y matriz de madurez</t>
  </si>
  <si>
    <t xml:space="preserve">Plan de acción de la planta</t>
  </si>
  <si>
    <t xml:space="preserve">Decisión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</si>
  <si>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</si>
  <si>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</si>
  <si>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</si>
  <si>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</si>
  <si>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</si>
  <si>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Línea de dependencia de los planificadores de planta</t>
  </si>
  <si>
    <t xml:space="preserve">A) Jerárquica de corporativo con puesto en planta · B) Funcional de corporativo y jerárquica de planta</t>
  </si>
  <si>
    <t xml:space="preserve">A: es la coherente con el mandato de centralizar.</t>
  </si>
  <si>
    <t xml:space="preserve">Dirección General y RR. HH.</t>
  </si>
  <si>
    <t xml:space="preserve">Abierta</t>
  </si>
  <si>
    <t xml:space="preserve">Horizonte congelado estándar</t>
  </si>
  <si>
    <t xml:space="preserve">Uno por tipo de planta (PET, cartón, papel) o uno común</t>
  </si>
  <si>
    <t xml:space="preserve">Uno por tipo de planta, igual para todas las plantas del mismo tipo.</t>
  </si>
  <si>
    <t xml:space="preserve">Qué puede decidir la planta sin escalar</t>
  </si>
  <si>
    <t xml:space="preserve">Umbrales de cambio de plan, prioridad y fechas</t>
  </si>
  <si>
    <t xml:space="preserve">Fijar umbrales claros y un plazo máximo de respuesta de corporativo.</t>
  </si>
  <si>
    <t xml:space="preserve">Herramienta única de planificación</t>
  </si>
  <si>
    <t xml:space="preserve">SIGPA (web) en todas las plantas o convivencia con GIO</t>
  </si>
  <si>
    <t xml:space="preserve">Alinear con los proyectos 2027 de migración a web.</t>
  </si>
  <si>
    <t xml:space="preserve">Dir. Planificación y Sistemas</t>
  </si>
  <si>
    <t xml:space="preserve">Planta piloto y fecha de arranque</t>
  </si>
  <si>
    <t xml:space="preserve">Ondupet, Ondupack o papeleras</t>
  </si>
  <si>
    <t xml:space="preserve">Ondupet, por ser la planta con mayor madurez.</t>
  </si>
  <si>
    <t xml:space="preserve">Papresa hasta su paso a SAP</t>
  </si>
  <si>
    <t xml:space="preserve">Aplicar ya roles y cadencia o esperar a enero de 2027</t>
  </si>
  <si>
    <t xml:space="preserve">Aplicar ya roles y cadencia; las herramientas, tras el paso a SAP.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</si>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</sst>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8"/>
      <name val="Arial"/>
      <family val="0"/>
      <charset val="1"/>
    </font>
    <font>
      <i val="true"/>
      <sz val="10"/>
      <color rgb="FFB4532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263A"/>
          <bgColor rgb="FF000000"/>
        </patternFill>
      </fill>
    </dxf>
    <dxf>
      <fill>
        <patternFill patternType="solid">
          <fgColor rgb="FFEA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2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532A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<Relationship Id="rId11" Type="http://schemas.openxmlformats.org/officeDocument/2006/relationships/hyperlink" Target="Kit_Modelo_Planificacion_CL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COUNTIF(RACI!S:S,"OK")</f>
        <v>44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  <c r="D12" s="7" t="n">
        <f aca="false">COUNTA(Roles!A:A)-1</f>
        <v>15</v>
      </c>
      <c r="E12" s="8" t="s">
        <v>17</v>
      </c>
    </row>
    <row r="13" customFormat="false" ht="15" hidden="false" customHeight="false" outlineLevel="0" collapsed="false">
      <c r="B13" s="6" t="s">
        <v>18</v>
      </c>
      <c r="C13" s="4" t="s">
        <v>19</v>
      </c>
      <c r="D13" s="7" t="n">
        <f aca="false">COUNTA(Asignación!C:C)-1</f>
        <v>20</v>
      </c>
      <c r="E13" s="8" t="s">
        <v>20</v>
      </c>
    </row>
    <row r="14" customFormat="false" ht="15" hidden="false" customHeight="false" outlineLevel="0" collapsed="false">
      <c r="B14" s="6" t="s">
        <v>21</v>
      </c>
      <c r="C14" s="4" t="s">
        <v>22</v>
      </c>
      <c r="D14" s="7" t="n">
        <f aca="false">COUNTA(Organigramas!D:D)-1</f>
        <v>59</v>
      </c>
      <c r="E14" s="8" t="s">
        <v>23</v>
      </c>
    </row>
    <row r="15" customFormat="false" ht="15" hidden="false" customHeight="false" outlineLevel="0" collapsed="false">
      <c r="B15" s="6" t="s">
        <v>24</v>
      </c>
      <c r="C15" s="4" t="s">
        <v>25</v>
      </c>
      <c r="D15" s="7" t="n">
        <f aca="false">COUNTA(Empresas!A:A)-1</f>
        <v>7</v>
      </c>
      <c r="E15" s="8" t="s">
        <v>26</v>
      </c>
    </row>
    <row r="16" customFormat="false" ht="15" hidden="false" customHeight="false" outlineLevel="0" collapsed="false">
      <c r="B16" s="6" t="s">
        <v>27</v>
      </c>
      <c r="C16" s="4" t="s">
        <v>28</v>
      </c>
      <c r="D16" s="7" t="n">
        <f aca="false">COUNTA(Políticas!A:A)-1</f>
        <v>10</v>
      </c>
      <c r="E16" s="8" t="s">
        <v>29</v>
      </c>
    </row>
    <row r="17" customFormat="false" ht="15" hidden="false" customHeight="false" outlineLevel="0" collapsed="false">
      <c r="B17" s="6" t="s">
        <v>30</v>
      </c>
      <c r="C17" s="4" t="s">
        <v>31</v>
      </c>
      <c r="D17" s="7" t="n">
        <f aca="false">COUNTA(KPIs!A:A)-1</f>
        <v>12</v>
      </c>
      <c r="E17" s="8" t="s">
        <v>30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COUNTA(Reuniones!A:A)-1</f>
        <v>8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COUNTIF(Decisiones!F:F,"Abierta")</f>
        <v>6</v>
      </c>
      <c r="E19" s="8" t="s">
        <v>37</v>
      </c>
    </row>
    <row r="20" customFormat="false" ht="15" hidden="false" customHeight="false" outlineLevel="0" collapsed="false">
      <c r="B20" s="6" t="s">
        <v>38</v>
      </c>
      <c r="C20" s="4" t="s">
        <v>39</v>
      </c>
      <c r="D20" s="7" t="n">
        <f aca="false">COUNTA(Plan!A:A)-1</f>
        <v>5</v>
      </c>
      <c r="E20" s="8" t="s">
        <v>40</v>
      </c>
    </row>
    <row r="22" customFormat="false" ht="15" hidden="false" customHeight="false" outlineLevel="0" collapsed="false">
      <c r="B22" s="5" t="s">
        <v>41</v>
      </c>
    </row>
    <row r="23" customFormat="false" ht="15" hidden="false" customHeight="false" outlineLevel="0" collapsed="false">
      <c r="B23" s="9" t="s">
        <v>42</v>
      </c>
      <c r="C23" s="4" t="s">
        <v>43</v>
      </c>
    </row>
    <row r="24" customFormat="false" ht="15" hidden="false" customHeight="false" outlineLevel="0" collapsed="false">
      <c r="B24" s="10" t="s">
        <v>44</v>
      </c>
      <c r="C24" s="4" t="s">
        <v>45</v>
      </c>
    </row>
    <row r="25" customFormat="false" ht="15" hidden="false" customHeight="false" outlineLevel="0" collapsed="false">
      <c r="B25" s="9" t="s">
        <v>46</v>
      </c>
      <c r="C25" s="4" t="s">
        <v>47</v>
      </c>
    </row>
    <row r="26" customFormat="false" ht="15" hidden="false" customHeight="false" outlineLevel="0" collapsed="false">
      <c r="B26" s="11" t="s">
        <v>48</v>
      </c>
      <c r="C26" s="4" t="s">
        <v>49</v>
      </c>
    </row>
    <row r="27" customFormat="false" ht="15" hidden="false" customHeight="false" outlineLevel="0" collapsed="false">
      <c r="B27" s="12" t="s">
        <v>50</v>
      </c>
      <c r="C27" s="4" t="s">
        <v>51</v>
      </c>
    </row>
  </sheetData>
  <hyperlinks>
    <hyperlink ref="B10" r:id="rId1" location="'Procesos'!A1" display="Procesos"/>
    <hyperlink ref="B11" r:id="rId2" location="'RACI'!A1" display="RACI"/>
    <hyperlink ref="B12" r:id="rId3" location="'Roles'!A1" display="Roles"/>
    <hyperlink ref="B13" r:id="rId4" location="'Asignación'!A1" display="Asignación"/>
    <hyperlink ref="B14" r:id="rId5" location="'Organigramas'!A1" display="Organigramas"/>
    <hyperlink ref="B15" r:id="rId6" location="'Empresas'!A1" display="Empresas"/>
    <hyperlink ref="B16" r:id="rId7" location="'Políticas'!A1" display="Políticas"/>
    <hyperlink ref="B17" r:id="rId8" location="'KPIs'!A1" display="KPIs"/>
    <hyperlink ref="B18" r:id="rId9" location="'Reuniones'!A1" display="Reuniones"/>
    <hyperlink ref="B19" r:id="rId10" location="'Decisiones'!A1" display="Decisiones"/>
    <hyperlink ref="B20" r:id="rId11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52</v>
      </c>
      <c r="B1" s="9" t="s">
        <v>53</v>
      </c>
      <c r="C1" s="9" t="s">
        <v>54</v>
      </c>
      <c r="D1" s="9" t="s">
        <v>55</v>
      </c>
      <c r="E1" s="9" t="s">
        <v>56</v>
      </c>
      <c r="F1" s="9" t="s">
        <v>57</v>
      </c>
      <c r="G1" s="9" t="s">
        <v>58</v>
      </c>
    </row>
    <row r="2" customFormat="false" ht="15" hidden="false" customHeight="false" outlineLevel="0" collapsed="false">
      <c r="A2" s="13" t="s">
        <v>59</v>
      </c>
      <c r="B2" s="13" t="s">
        <v>60</v>
      </c>
      <c r="C2" s="13" t="s">
        <v>61</v>
      </c>
      <c r="D2" s="13" t="s">
        <v>62</v>
      </c>
      <c r="E2" s="13" t="s">
        <v>63</v>
      </c>
      <c r="F2" s="13" t="s">
        <v>64</v>
      </c>
      <c r="G2" s="13" t="s">
        <v>65</v>
      </c>
    </row>
    <row r="3" customFormat="false" ht="15" hidden="false" customHeight="false" outlineLevel="0" collapsed="false">
      <c r="A3" s="13" t="s">
        <v>59</v>
      </c>
      <c r="B3" s="13" t="s">
        <v>66</v>
      </c>
      <c r="C3" s="13" t="s">
        <v>67</v>
      </c>
      <c r="D3" s="13" t="s">
        <v>68</v>
      </c>
      <c r="E3" s="13" t="s">
        <v>69</v>
      </c>
      <c r="F3" s="13" t="s">
        <v>64</v>
      </c>
      <c r="G3" s="13" t="s">
        <v>65</v>
      </c>
    </row>
    <row r="4" customFormat="false" ht="15" hidden="false" customHeight="false" outlineLevel="0" collapsed="false">
      <c r="A4" s="13" t="s">
        <v>59</v>
      </c>
      <c r="B4" s="13" t="s">
        <v>70</v>
      </c>
      <c r="C4" s="13" t="s">
        <v>71</v>
      </c>
      <c r="D4" s="13" t="s">
        <v>72</v>
      </c>
      <c r="E4" s="13" t="s">
        <v>73</v>
      </c>
      <c r="F4" s="13" t="s">
        <v>64</v>
      </c>
      <c r="G4" s="13" t="s">
        <v>74</v>
      </c>
    </row>
    <row r="5" customFormat="false" ht="15" hidden="false" customHeight="false" outlineLevel="0" collapsed="false">
      <c r="A5" s="13" t="s">
        <v>59</v>
      </c>
      <c r="B5" s="13" t="s">
        <v>75</v>
      </c>
      <c r="C5" s="13" t="s">
        <v>76</v>
      </c>
      <c r="D5" s="13" t="s">
        <v>77</v>
      </c>
      <c r="E5" s="13" t="s">
        <v>73</v>
      </c>
      <c r="F5" s="13" t="s">
        <v>64</v>
      </c>
      <c r="G5" s="13" t="s">
        <v>65</v>
      </c>
    </row>
    <row r="6" customFormat="false" ht="15" hidden="false" customHeight="false" outlineLevel="0" collapsed="false">
      <c r="A6" s="13" t="s">
        <v>59</v>
      </c>
      <c r="B6" s="13" t="s">
        <v>78</v>
      </c>
      <c r="C6" s="13" t="s">
        <v>79</v>
      </c>
      <c r="D6" s="13" t="s">
        <v>80</v>
      </c>
      <c r="E6" s="13" t="s">
        <v>69</v>
      </c>
      <c r="F6" s="13" t="s">
        <v>64</v>
      </c>
      <c r="G6" s="13" t="s">
        <v>65</v>
      </c>
    </row>
    <row r="7" customFormat="false" ht="23.85" hidden="false" customHeight="false" outlineLevel="0" collapsed="false">
      <c r="A7" s="13" t="s">
        <v>59</v>
      </c>
      <c r="B7" s="13" t="s">
        <v>81</v>
      </c>
      <c r="C7" s="13" t="s">
        <v>82</v>
      </c>
      <c r="D7" s="13" t="s">
        <v>83</v>
      </c>
      <c r="E7" s="13" t="s">
        <v>84</v>
      </c>
      <c r="F7" s="13" t="s">
        <v>64</v>
      </c>
      <c r="G7" s="13" t="s">
        <v>85</v>
      </c>
    </row>
    <row r="8" customFormat="false" ht="23.85" hidden="false" customHeight="false" outlineLevel="0" collapsed="false">
      <c r="A8" s="13" t="s">
        <v>86</v>
      </c>
      <c r="B8" s="13" t="s">
        <v>87</v>
      </c>
      <c r="C8" s="13" t="s">
        <v>88</v>
      </c>
      <c r="D8" s="13" t="s">
        <v>89</v>
      </c>
      <c r="E8" s="13" t="s">
        <v>90</v>
      </c>
      <c r="F8" s="13" t="s">
        <v>91</v>
      </c>
      <c r="G8" s="13" t="s">
        <v>91</v>
      </c>
    </row>
    <row r="9" customFormat="false" ht="15" hidden="false" customHeight="false" outlineLevel="0" collapsed="false">
      <c r="A9" s="13" t="s">
        <v>86</v>
      </c>
      <c r="B9" s="13" t="s">
        <v>92</v>
      </c>
      <c r="C9" s="13" t="s">
        <v>93</v>
      </c>
      <c r="D9" s="13" t="s">
        <v>94</v>
      </c>
      <c r="E9" s="13" t="s">
        <v>69</v>
      </c>
      <c r="F9" s="13" t="s">
        <v>65</v>
      </c>
      <c r="G9" s="13" t="s">
        <v>91</v>
      </c>
    </row>
    <row r="10" customFormat="false" ht="15" hidden="false" customHeight="false" outlineLevel="0" collapsed="false">
      <c r="A10" s="13" t="s">
        <v>86</v>
      </c>
      <c r="B10" s="13" t="s">
        <v>95</v>
      </c>
      <c r="C10" s="13" t="s">
        <v>96</v>
      </c>
      <c r="D10" s="13" t="s">
        <v>97</v>
      </c>
      <c r="E10" s="13" t="s">
        <v>73</v>
      </c>
      <c r="F10" s="13" t="s">
        <v>91</v>
      </c>
      <c r="G10" s="13" t="s">
        <v>98</v>
      </c>
    </row>
    <row r="11" customFormat="false" ht="15" hidden="false" customHeight="false" outlineLevel="0" collapsed="false">
      <c r="A11" s="13" t="s">
        <v>86</v>
      </c>
      <c r="B11" s="13" t="s">
        <v>99</v>
      </c>
      <c r="C11" s="13" t="s">
        <v>100</v>
      </c>
      <c r="D11" s="13" t="s">
        <v>101</v>
      </c>
      <c r="E11" s="13" t="s">
        <v>84</v>
      </c>
      <c r="F11" s="13" t="s">
        <v>102</v>
      </c>
      <c r="G11" s="13" t="s">
        <v>103</v>
      </c>
    </row>
    <row r="12" customFormat="false" ht="15" hidden="false" customHeight="false" outlineLevel="0" collapsed="false">
      <c r="A12" s="13" t="s">
        <v>86</v>
      </c>
      <c r="B12" s="13" t="s">
        <v>104</v>
      </c>
      <c r="C12" s="13" t="s">
        <v>105</v>
      </c>
      <c r="D12" s="13" t="s">
        <v>106</v>
      </c>
      <c r="E12" s="13" t="s">
        <v>73</v>
      </c>
      <c r="F12" s="13" t="s">
        <v>65</v>
      </c>
      <c r="G12" s="13" t="s">
        <v>91</v>
      </c>
    </row>
    <row r="13" customFormat="false" ht="15" hidden="false" customHeight="false" outlineLevel="0" collapsed="false">
      <c r="A13" s="13" t="s">
        <v>107</v>
      </c>
      <c r="B13" s="13" t="s">
        <v>108</v>
      </c>
      <c r="C13" s="13" t="s">
        <v>109</v>
      </c>
      <c r="D13" s="13" t="s">
        <v>110</v>
      </c>
      <c r="E13" s="13" t="s">
        <v>73</v>
      </c>
      <c r="F13" s="13" t="s">
        <v>102</v>
      </c>
      <c r="G13" s="13" t="s">
        <v>111</v>
      </c>
    </row>
    <row r="14" customFormat="false" ht="15" hidden="false" customHeight="false" outlineLevel="0" collapsed="false">
      <c r="A14" s="13" t="s">
        <v>107</v>
      </c>
      <c r="B14" s="13" t="s">
        <v>112</v>
      </c>
      <c r="C14" s="13" t="s">
        <v>113</v>
      </c>
      <c r="D14" s="13" t="s">
        <v>114</v>
      </c>
      <c r="E14" s="13" t="s">
        <v>73</v>
      </c>
      <c r="F14" s="13" t="s">
        <v>74</v>
      </c>
      <c r="G14" s="13" t="s">
        <v>111</v>
      </c>
    </row>
    <row r="15" customFormat="false" ht="15" hidden="false" customHeight="false" outlineLevel="0" collapsed="false">
      <c r="A15" s="13" t="s">
        <v>107</v>
      </c>
      <c r="B15" s="13" t="s">
        <v>115</v>
      </c>
      <c r="C15" s="13" t="s">
        <v>116</v>
      </c>
      <c r="D15" s="13" t="s">
        <v>117</v>
      </c>
      <c r="E15" s="13" t="s">
        <v>90</v>
      </c>
      <c r="F15" s="13" t="s">
        <v>102</v>
      </c>
      <c r="G15" s="13" t="s">
        <v>111</v>
      </c>
    </row>
    <row r="16" customFormat="false" ht="15" hidden="false" customHeight="false" outlineLevel="0" collapsed="false">
      <c r="A16" s="13" t="s">
        <v>107</v>
      </c>
      <c r="B16" s="13" t="s">
        <v>118</v>
      </c>
      <c r="C16" s="13" t="s">
        <v>119</v>
      </c>
      <c r="D16" s="13" t="s">
        <v>120</v>
      </c>
      <c r="E16" s="13" t="s">
        <v>73</v>
      </c>
      <c r="F16" s="13" t="s">
        <v>74</v>
      </c>
      <c r="G16" s="13" t="s">
        <v>111</v>
      </c>
    </row>
    <row r="17" customFormat="false" ht="15" hidden="false" customHeight="false" outlineLevel="0" collapsed="false">
      <c r="A17" s="13" t="s">
        <v>121</v>
      </c>
      <c r="B17" s="13" t="s">
        <v>122</v>
      </c>
      <c r="C17" s="13" t="s">
        <v>123</v>
      </c>
      <c r="D17" s="13" t="s">
        <v>124</v>
      </c>
      <c r="E17" s="13" t="s">
        <v>90</v>
      </c>
      <c r="F17" s="13" t="s">
        <v>102</v>
      </c>
      <c r="G17" s="13" t="s">
        <v>111</v>
      </c>
    </row>
    <row r="18" customFormat="false" ht="15" hidden="false" customHeight="false" outlineLevel="0" collapsed="false">
      <c r="A18" s="13" t="s">
        <v>121</v>
      </c>
      <c r="B18" s="13" t="s">
        <v>125</v>
      </c>
      <c r="C18" s="13" t="s">
        <v>126</v>
      </c>
      <c r="D18" s="13" t="s">
        <v>127</v>
      </c>
      <c r="E18" s="13" t="s">
        <v>90</v>
      </c>
      <c r="F18" s="13" t="s">
        <v>102</v>
      </c>
      <c r="G18" s="13" t="s">
        <v>128</v>
      </c>
    </row>
    <row r="19" customFormat="false" ht="15" hidden="false" customHeight="false" outlineLevel="0" collapsed="false">
      <c r="A19" s="13" t="s">
        <v>121</v>
      </c>
      <c r="B19" s="13" t="s">
        <v>129</v>
      </c>
      <c r="C19" s="13" t="s">
        <v>130</v>
      </c>
      <c r="D19" s="13" t="s">
        <v>131</v>
      </c>
      <c r="E19" s="13" t="s">
        <v>84</v>
      </c>
      <c r="F19" s="13" t="s">
        <v>102</v>
      </c>
      <c r="G19" s="13" t="s">
        <v>111</v>
      </c>
    </row>
    <row r="20" customFormat="false" ht="23.85" hidden="false" customHeight="false" outlineLevel="0" collapsed="false">
      <c r="A20" s="13" t="s">
        <v>121</v>
      </c>
      <c r="B20" s="13" t="s">
        <v>132</v>
      </c>
      <c r="C20" s="13" t="s">
        <v>133</v>
      </c>
      <c r="D20" s="13" t="s">
        <v>134</v>
      </c>
      <c r="E20" s="13" t="s">
        <v>84</v>
      </c>
      <c r="F20" s="13" t="s">
        <v>102</v>
      </c>
      <c r="G20" s="13" t="s">
        <v>111</v>
      </c>
    </row>
    <row r="21" customFormat="false" ht="15" hidden="false" customHeight="false" outlineLevel="0" collapsed="false">
      <c r="A21" s="13" t="s">
        <v>135</v>
      </c>
      <c r="B21" s="13" t="s">
        <v>136</v>
      </c>
      <c r="C21" s="13" t="s">
        <v>137</v>
      </c>
      <c r="D21" s="13" t="s">
        <v>138</v>
      </c>
      <c r="E21" s="13" t="s">
        <v>90</v>
      </c>
      <c r="F21" s="13" t="s">
        <v>102</v>
      </c>
      <c r="G21" s="13" t="s">
        <v>139</v>
      </c>
    </row>
    <row r="22" customFormat="false" ht="15" hidden="false" customHeight="false" outlineLevel="0" collapsed="false">
      <c r="A22" s="13" t="s">
        <v>135</v>
      </c>
      <c r="B22" s="13" t="s">
        <v>140</v>
      </c>
      <c r="C22" s="13" t="s">
        <v>141</v>
      </c>
      <c r="D22" s="13" t="s">
        <v>142</v>
      </c>
      <c r="E22" s="13" t="s">
        <v>90</v>
      </c>
      <c r="F22" s="13" t="s">
        <v>102</v>
      </c>
      <c r="G22" s="13" t="s">
        <v>111</v>
      </c>
    </row>
    <row r="23" customFormat="false" ht="15" hidden="false" customHeight="false" outlineLevel="0" collapsed="false">
      <c r="A23" s="13" t="s">
        <v>135</v>
      </c>
      <c r="B23" s="13" t="s">
        <v>143</v>
      </c>
      <c r="C23" s="13" t="s">
        <v>144</v>
      </c>
      <c r="D23" s="13" t="s">
        <v>145</v>
      </c>
      <c r="E23" s="13" t="s">
        <v>90</v>
      </c>
      <c r="F23" s="13" t="s">
        <v>102</v>
      </c>
      <c r="G23" s="13" t="s">
        <v>139</v>
      </c>
    </row>
    <row r="24" customFormat="false" ht="15" hidden="false" customHeight="false" outlineLevel="0" collapsed="false">
      <c r="A24" s="13" t="s">
        <v>135</v>
      </c>
      <c r="B24" s="13" t="s">
        <v>146</v>
      </c>
      <c r="C24" s="13" t="s">
        <v>147</v>
      </c>
      <c r="D24" s="13" t="s">
        <v>148</v>
      </c>
      <c r="E24" s="13" t="s">
        <v>84</v>
      </c>
      <c r="F24" s="13" t="s">
        <v>102</v>
      </c>
      <c r="G24" s="13" t="s">
        <v>139</v>
      </c>
    </row>
    <row r="25" customFormat="false" ht="15" hidden="false" customHeight="false" outlineLevel="0" collapsed="false">
      <c r="A25" s="13" t="s">
        <v>149</v>
      </c>
      <c r="B25" s="13" t="s">
        <v>150</v>
      </c>
      <c r="C25" s="13" t="s">
        <v>151</v>
      </c>
      <c r="D25" s="13" t="s">
        <v>152</v>
      </c>
      <c r="E25" s="13" t="s">
        <v>84</v>
      </c>
      <c r="F25" s="13" t="s">
        <v>102</v>
      </c>
      <c r="G25" s="13" t="s">
        <v>103</v>
      </c>
    </row>
    <row r="26" customFormat="false" ht="15" hidden="false" customHeight="false" outlineLevel="0" collapsed="false">
      <c r="A26" s="13" t="s">
        <v>149</v>
      </c>
      <c r="B26" s="13" t="s">
        <v>153</v>
      </c>
      <c r="C26" s="13" t="s">
        <v>154</v>
      </c>
      <c r="D26" s="13" t="s">
        <v>155</v>
      </c>
      <c r="E26" s="13" t="s">
        <v>73</v>
      </c>
      <c r="F26" s="13" t="s">
        <v>74</v>
      </c>
      <c r="G26" s="13" t="s">
        <v>102</v>
      </c>
    </row>
    <row r="27" customFormat="false" ht="15" hidden="false" customHeight="false" outlineLevel="0" collapsed="false">
      <c r="A27" s="13" t="s">
        <v>149</v>
      </c>
      <c r="B27" s="13" t="s">
        <v>156</v>
      </c>
      <c r="C27" s="13" t="s">
        <v>157</v>
      </c>
      <c r="D27" s="13" t="s">
        <v>158</v>
      </c>
      <c r="E27" s="13" t="s">
        <v>84</v>
      </c>
      <c r="F27" s="13" t="s">
        <v>102</v>
      </c>
      <c r="G27" s="13" t="s">
        <v>103</v>
      </c>
    </row>
    <row r="28" customFormat="false" ht="15" hidden="false" customHeight="false" outlineLevel="0" collapsed="false">
      <c r="A28" s="13" t="s">
        <v>159</v>
      </c>
      <c r="B28" s="13" t="s">
        <v>160</v>
      </c>
      <c r="C28" s="13" t="s">
        <v>161</v>
      </c>
      <c r="D28" s="13" t="s">
        <v>162</v>
      </c>
      <c r="E28" s="13" t="s">
        <v>84</v>
      </c>
      <c r="F28" s="13" t="s">
        <v>102</v>
      </c>
      <c r="G28" s="13" t="s">
        <v>103</v>
      </c>
    </row>
    <row r="29" customFormat="false" ht="15" hidden="false" customHeight="false" outlineLevel="0" collapsed="false">
      <c r="A29" s="13" t="s">
        <v>159</v>
      </c>
      <c r="B29" s="13" t="s">
        <v>163</v>
      </c>
      <c r="C29" s="13" t="s">
        <v>164</v>
      </c>
      <c r="D29" s="13" t="s">
        <v>165</v>
      </c>
      <c r="E29" s="13" t="s">
        <v>90</v>
      </c>
      <c r="F29" s="13" t="s">
        <v>102</v>
      </c>
      <c r="G29" s="13" t="s">
        <v>103</v>
      </c>
    </row>
    <row r="30" customFormat="false" ht="15" hidden="false" customHeight="false" outlineLevel="0" collapsed="false">
      <c r="A30" s="13" t="s">
        <v>159</v>
      </c>
      <c r="B30" s="13" t="s">
        <v>166</v>
      </c>
      <c r="C30" s="13" t="s">
        <v>167</v>
      </c>
      <c r="D30" s="13" t="s">
        <v>168</v>
      </c>
      <c r="E30" s="13" t="s">
        <v>90</v>
      </c>
      <c r="F30" s="13" t="s">
        <v>102</v>
      </c>
      <c r="G30" s="13" t="s">
        <v>103</v>
      </c>
    </row>
    <row r="31" customFormat="false" ht="15" hidden="false" customHeight="false" outlineLevel="0" collapsed="false">
      <c r="A31" s="13" t="s">
        <v>159</v>
      </c>
      <c r="B31" s="13" t="s">
        <v>169</v>
      </c>
      <c r="C31" s="13" t="s">
        <v>170</v>
      </c>
      <c r="D31" s="13" t="s">
        <v>171</v>
      </c>
      <c r="E31" s="13" t="s">
        <v>90</v>
      </c>
      <c r="F31" s="13" t="s">
        <v>102</v>
      </c>
      <c r="G31" s="13" t="s">
        <v>103</v>
      </c>
    </row>
    <row r="32" customFormat="false" ht="15" hidden="false" customHeight="false" outlineLevel="0" collapsed="false">
      <c r="A32" s="13" t="s">
        <v>159</v>
      </c>
      <c r="B32" s="13" t="s">
        <v>172</v>
      </c>
      <c r="C32" s="13" t="s">
        <v>173</v>
      </c>
      <c r="D32" s="13" t="s">
        <v>174</v>
      </c>
      <c r="E32" s="13" t="s">
        <v>84</v>
      </c>
      <c r="F32" s="13" t="s">
        <v>102</v>
      </c>
      <c r="G32" s="13" t="s">
        <v>103</v>
      </c>
    </row>
    <row r="33" customFormat="false" ht="15" hidden="false" customHeight="false" outlineLevel="0" collapsed="false">
      <c r="A33" s="13" t="s">
        <v>175</v>
      </c>
      <c r="B33" s="13" t="s">
        <v>176</v>
      </c>
      <c r="C33" s="13" t="s">
        <v>177</v>
      </c>
      <c r="D33" s="13" t="s">
        <v>178</v>
      </c>
      <c r="E33" s="13" t="s">
        <v>90</v>
      </c>
      <c r="F33" s="13" t="s">
        <v>102</v>
      </c>
      <c r="G33" s="13" t="s">
        <v>111</v>
      </c>
    </row>
    <row r="34" customFormat="false" ht="15" hidden="false" customHeight="false" outlineLevel="0" collapsed="false">
      <c r="A34" s="13" t="s">
        <v>175</v>
      </c>
      <c r="B34" s="13" t="s">
        <v>179</v>
      </c>
      <c r="C34" s="13" t="s">
        <v>180</v>
      </c>
      <c r="D34" s="13" t="s">
        <v>181</v>
      </c>
      <c r="E34" s="13" t="s">
        <v>90</v>
      </c>
      <c r="F34" s="13" t="s">
        <v>102</v>
      </c>
      <c r="G34" s="13" t="s">
        <v>111</v>
      </c>
    </row>
    <row r="35" customFormat="false" ht="23.85" hidden="false" customHeight="false" outlineLevel="0" collapsed="false">
      <c r="A35" s="13" t="s">
        <v>175</v>
      </c>
      <c r="B35" s="13" t="s">
        <v>182</v>
      </c>
      <c r="C35" s="13" t="s">
        <v>183</v>
      </c>
      <c r="D35" s="13" t="s">
        <v>184</v>
      </c>
      <c r="E35" s="13" t="s">
        <v>90</v>
      </c>
      <c r="F35" s="13" t="s">
        <v>102</v>
      </c>
      <c r="G35" s="13" t="s">
        <v>185</v>
      </c>
    </row>
    <row r="36" customFormat="false" ht="15" hidden="false" customHeight="false" outlineLevel="0" collapsed="false">
      <c r="A36" s="13" t="s">
        <v>175</v>
      </c>
      <c r="B36" s="13" t="s">
        <v>186</v>
      </c>
      <c r="C36" s="13" t="s">
        <v>187</v>
      </c>
      <c r="D36" s="13" t="s">
        <v>188</v>
      </c>
      <c r="E36" s="13" t="s">
        <v>90</v>
      </c>
      <c r="F36" s="13" t="s">
        <v>102</v>
      </c>
      <c r="G36" s="13" t="s">
        <v>189</v>
      </c>
    </row>
    <row r="37" customFormat="false" ht="15" hidden="false" customHeight="false" outlineLevel="0" collapsed="false">
      <c r="A37" s="13" t="s">
        <v>190</v>
      </c>
      <c r="B37" s="13" t="s">
        <v>191</v>
      </c>
      <c r="C37" s="13" t="s">
        <v>192</v>
      </c>
      <c r="D37" s="13" t="s">
        <v>193</v>
      </c>
      <c r="E37" s="13" t="s">
        <v>84</v>
      </c>
      <c r="F37" s="13" t="s">
        <v>102</v>
      </c>
      <c r="G37" s="13" t="s">
        <v>103</v>
      </c>
    </row>
    <row r="38" customFormat="false" ht="15" hidden="false" customHeight="false" outlineLevel="0" collapsed="false">
      <c r="A38" s="13" t="s">
        <v>190</v>
      </c>
      <c r="B38" s="13" t="s">
        <v>194</v>
      </c>
      <c r="C38" s="13" t="s">
        <v>195</v>
      </c>
      <c r="D38" s="13" t="s">
        <v>196</v>
      </c>
      <c r="E38" s="13" t="s">
        <v>84</v>
      </c>
      <c r="F38" s="13" t="s">
        <v>197</v>
      </c>
      <c r="G38" s="13" t="s">
        <v>198</v>
      </c>
    </row>
    <row r="39" customFormat="false" ht="15" hidden="false" customHeight="false" outlineLevel="0" collapsed="false">
      <c r="A39" s="13" t="s">
        <v>190</v>
      </c>
      <c r="B39" s="13" t="s">
        <v>199</v>
      </c>
      <c r="C39" s="13" t="s">
        <v>200</v>
      </c>
      <c r="D39" s="13" t="s">
        <v>201</v>
      </c>
      <c r="E39" s="13" t="s">
        <v>84</v>
      </c>
      <c r="F39" s="13" t="s">
        <v>102</v>
      </c>
      <c r="G39" s="13" t="s">
        <v>139</v>
      </c>
    </row>
    <row r="40" customFormat="false" ht="15" hidden="false" customHeight="false" outlineLevel="0" collapsed="false">
      <c r="A40" s="13" t="s">
        <v>190</v>
      </c>
      <c r="B40" s="13" t="s">
        <v>202</v>
      </c>
      <c r="C40" s="13" t="s">
        <v>203</v>
      </c>
      <c r="D40" s="13" t="s">
        <v>204</v>
      </c>
      <c r="E40" s="13" t="s">
        <v>84</v>
      </c>
      <c r="F40" s="13" t="s">
        <v>102</v>
      </c>
      <c r="G40" s="13" t="s">
        <v>103</v>
      </c>
    </row>
    <row r="41" customFormat="false" ht="15" hidden="false" customHeight="false" outlineLevel="0" collapsed="false">
      <c r="A41" s="13" t="s">
        <v>205</v>
      </c>
      <c r="B41" s="13" t="s">
        <v>206</v>
      </c>
      <c r="C41" s="13" t="s">
        <v>207</v>
      </c>
      <c r="D41" s="13" t="s">
        <v>208</v>
      </c>
      <c r="E41" s="13" t="s">
        <v>73</v>
      </c>
      <c r="F41" s="13" t="s">
        <v>74</v>
      </c>
      <c r="G41" s="13" t="s">
        <v>209</v>
      </c>
    </row>
    <row r="42" customFormat="false" ht="15" hidden="false" customHeight="false" outlineLevel="0" collapsed="false">
      <c r="A42" s="13" t="s">
        <v>205</v>
      </c>
      <c r="B42" s="13" t="s">
        <v>210</v>
      </c>
      <c r="C42" s="13" t="s">
        <v>211</v>
      </c>
      <c r="D42" s="13" t="s">
        <v>212</v>
      </c>
      <c r="E42" s="13" t="s">
        <v>90</v>
      </c>
      <c r="F42" s="13" t="s">
        <v>74</v>
      </c>
      <c r="G42" s="13" t="s">
        <v>139</v>
      </c>
    </row>
    <row r="43" customFormat="false" ht="15" hidden="false" customHeight="false" outlineLevel="0" collapsed="false">
      <c r="A43" s="13" t="s">
        <v>205</v>
      </c>
      <c r="B43" s="13" t="s">
        <v>213</v>
      </c>
      <c r="C43" s="13" t="s">
        <v>214</v>
      </c>
      <c r="D43" s="13" t="s">
        <v>215</v>
      </c>
      <c r="E43" s="13" t="s">
        <v>84</v>
      </c>
      <c r="F43" s="13" t="s">
        <v>102</v>
      </c>
      <c r="G43" s="13" t="s">
        <v>103</v>
      </c>
    </row>
    <row r="44" customFormat="false" ht="15" hidden="false" customHeight="false" outlineLevel="0" collapsed="false">
      <c r="A44" s="13" t="s">
        <v>205</v>
      </c>
      <c r="B44" s="13" t="s">
        <v>216</v>
      </c>
      <c r="C44" s="13" t="s">
        <v>217</v>
      </c>
      <c r="D44" s="13" t="s">
        <v>218</v>
      </c>
      <c r="E44" s="13" t="s">
        <v>84</v>
      </c>
      <c r="F44" s="13" t="s">
        <v>74</v>
      </c>
      <c r="G44" s="13" t="s">
        <v>139</v>
      </c>
    </row>
    <row r="45" customFormat="false" ht="15" hidden="false" customHeight="false" outlineLevel="0" collapsed="false">
      <c r="A45" s="13" t="s">
        <v>205</v>
      </c>
      <c r="B45" s="13" t="s">
        <v>219</v>
      </c>
      <c r="C45" s="13" t="s">
        <v>220</v>
      </c>
      <c r="D45" s="13" t="s">
        <v>221</v>
      </c>
      <c r="E45" s="13" t="s">
        <v>84</v>
      </c>
      <c r="F45" s="13" t="s">
        <v>74</v>
      </c>
      <c r="G45" s="1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S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19" min="4" style="0" width="11"/>
  </cols>
  <sheetData>
    <row r="1" customFormat="false" ht="17.35" hidden="false" customHeight="false" outlineLevel="0" collapsed="false">
      <c r="A1" s="14" t="s">
        <v>222</v>
      </c>
    </row>
    <row r="2" customFormat="false" ht="15" hidden="false" customHeight="true" outlineLevel="0" collapsed="false">
      <c r="D2" s="15" t="s">
        <v>223</v>
      </c>
      <c r="E2" s="15"/>
      <c r="F2" s="15"/>
      <c r="G2" s="15"/>
      <c r="H2" s="15"/>
      <c r="I2" s="15" t="s">
        <v>224</v>
      </c>
      <c r="J2" s="15"/>
      <c r="K2" s="15"/>
      <c r="L2" s="15"/>
      <c r="M2" s="15" t="s">
        <v>225</v>
      </c>
      <c r="N2" s="15"/>
      <c r="O2" s="15"/>
      <c r="P2" s="15"/>
      <c r="Q2" s="15"/>
      <c r="R2" s="15"/>
    </row>
    <row r="3" customFormat="false" ht="42" hidden="false" customHeight="true" outlineLevel="0" collapsed="false">
      <c r="A3" s="16" t="s">
        <v>52</v>
      </c>
      <c r="B3" s="16" t="s">
        <v>53</v>
      </c>
      <c r="C3" s="16" t="s">
        <v>54</v>
      </c>
      <c r="D3" s="16" t="s">
        <v>226</v>
      </c>
      <c r="E3" s="16" t="s">
        <v>227</v>
      </c>
      <c r="F3" s="16" t="s">
        <v>86</v>
      </c>
      <c r="G3" s="16" t="s">
        <v>228</v>
      </c>
      <c r="H3" s="16" t="s">
        <v>229</v>
      </c>
      <c r="I3" s="16" t="s">
        <v>230</v>
      </c>
      <c r="J3" s="16" t="s">
        <v>231</v>
      </c>
      <c r="K3" s="16" t="s">
        <v>159</v>
      </c>
      <c r="L3" s="16" t="s">
        <v>232</v>
      </c>
      <c r="M3" s="16" t="s">
        <v>233</v>
      </c>
      <c r="N3" s="16" t="s">
        <v>234</v>
      </c>
      <c r="O3" s="16" t="s">
        <v>235</v>
      </c>
      <c r="P3" s="16" t="s">
        <v>236</v>
      </c>
      <c r="Q3" s="16" t="s">
        <v>237</v>
      </c>
      <c r="R3" s="16" t="s">
        <v>238</v>
      </c>
      <c r="S3" s="16" t="s">
        <v>239</v>
      </c>
    </row>
    <row r="4" customFormat="false" ht="15" hidden="false" customHeight="false" outlineLevel="0" collapsed="false">
      <c r="A4" s="13" t="s">
        <v>59</v>
      </c>
      <c r="B4" s="13" t="s">
        <v>60</v>
      </c>
      <c r="C4" s="13" t="s">
        <v>61</v>
      </c>
      <c r="D4" s="9" t="s">
        <v>42</v>
      </c>
      <c r="E4" s="10" t="s">
        <v>44</v>
      </c>
      <c r="F4" s="17"/>
      <c r="G4" s="17"/>
      <c r="H4" s="11" t="s">
        <v>48</v>
      </c>
      <c r="I4" s="11" t="s">
        <v>48</v>
      </c>
      <c r="J4" s="17"/>
      <c r="K4" s="17"/>
      <c r="L4" s="17"/>
      <c r="M4" s="12" t="s">
        <v>50</v>
      </c>
      <c r="N4" s="17"/>
      <c r="O4" s="17"/>
      <c r="P4" s="17"/>
      <c r="Q4" s="17"/>
      <c r="R4" s="17"/>
      <c r="S4" s="18" t="str">
        <f aca="false">IF(COUNTIF(D4:R4,"A")+COUNTIF(D4:R4,"A/R")&lt;&gt;1,"Revisar A",IF(COUNTIF(D4:R4,"R")+COUNTIF(D4:R4,"A/R")=0,"Falta R","OK"))</f>
        <v>OK</v>
      </c>
    </row>
    <row r="5" customFormat="false" ht="15" hidden="false" customHeight="false" outlineLevel="0" collapsed="false">
      <c r="A5" s="13" t="s">
        <v>59</v>
      </c>
      <c r="B5" s="13" t="s">
        <v>66</v>
      </c>
      <c r="C5" s="13" t="s">
        <v>67</v>
      </c>
      <c r="D5" s="9" t="s">
        <v>42</v>
      </c>
      <c r="E5" s="10" t="s">
        <v>44</v>
      </c>
      <c r="F5" s="17"/>
      <c r="G5" s="11" t="s">
        <v>48</v>
      </c>
      <c r="H5" s="17"/>
      <c r="I5" s="11" t="s">
        <v>48</v>
      </c>
      <c r="J5" s="12" t="s">
        <v>50</v>
      </c>
      <c r="K5" s="12" t="s">
        <v>50</v>
      </c>
      <c r="L5" s="12" t="s">
        <v>50</v>
      </c>
      <c r="M5" s="11" t="s">
        <v>48</v>
      </c>
      <c r="N5" s="11" t="s">
        <v>48</v>
      </c>
      <c r="O5" s="17"/>
      <c r="P5" s="17"/>
      <c r="Q5" s="17"/>
      <c r="R5" s="17"/>
      <c r="S5" s="18" t="str">
        <f aca="false">IF(COUNTIF(D5:R5,"A")+COUNTIF(D5:R5,"A/R")&lt;&gt;1,"Revisar A",IF(COUNTIF(D5:R5,"R")+COUNTIF(D5:R5,"A/R")=0,"Falta R","OK"))</f>
        <v>OK</v>
      </c>
    </row>
    <row r="6" customFormat="false" ht="15" hidden="false" customHeight="false" outlineLevel="0" collapsed="false">
      <c r="A6" s="13" t="s">
        <v>59</v>
      </c>
      <c r="B6" s="13" t="s">
        <v>70</v>
      </c>
      <c r="C6" s="13" t="s">
        <v>71</v>
      </c>
      <c r="D6" s="9" t="s">
        <v>42</v>
      </c>
      <c r="E6" s="12" t="s">
        <v>50</v>
      </c>
      <c r="F6" s="17"/>
      <c r="G6" s="10" t="s">
        <v>44</v>
      </c>
      <c r="H6" s="17"/>
      <c r="I6" s="11" t="s">
        <v>48</v>
      </c>
      <c r="J6" s="17"/>
      <c r="K6" s="17"/>
      <c r="L6" s="17"/>
      <c r="M6" s="11" t="s">
        <v>48</v>
      </c>
      <c r="N6" s="11" t="s">
        <v>48</v>
      </c>
      <c r="O6" s="17"/>
      <c r="P6" s="17"/>
      <c r="Q6" s="11" t="s">
        <v>48</v>
      </c>
      <c r="R6" s="17"/>
      <c r="S6" s="18" t="str">
        <f aca="false">IF(COUNTIF(D6:R6,"A")+COUNTIF(D6:R6,"A/R")&lt;&gt;1,"Revisar A",IF(COUNTIF(D6:R6,"R")+COUNTIF(D6:R6,"A/R")=0,"Falta R","OK"))</f>
        <v>OK</v>
      </c>
    </row>
    <row r="7" customFormat="false" ht="15" hidden="false" customHeight="false" outlineLevel="0" collapsed="false">
      <c r="A7" s="13" t="s">
        <v>59</v>
      </c>
      <c r="B7" s="13" t="s">
        <v>75</v>
      </c>
      <c r="C7" s="13" t="s">
        <v>76</v>
      </c>
      <c r="D7" s="9" t="s">
        <v>42</v>
      </c>
      <c r="E7" s="10" t="s">
        <v>44</v>
      </c>
      <c r="F7" s="17"/>
      <c r="G7" s="17"/>
      <c r="H7" s="17"/>
      <c r="I7" s="11" t="s">
        <v>48</v>
      </c>
      <c r="J7" s="12" t="s">
        <v>50</v>
      </c>
      <c r="K7" s="12" t="s">
        <v>50</v>
      </c>
      <c r="L7" s="12" t="s">
        <v>50</v>
      </c>
      <c r="M7" s="11" t="s">
        <v>48</v>
      </c>
      <c r="N7" s="17"/>
      <c r="O7" s="17"/>
      <c r="P7" s="17"/>
      <c r="Q7" s="17"/>
      <c r="R7" s="17"/>
      <c r="S7" s="18" t="str">
        <f aca="false">IF(COUNTIF(D7:R7,"A")+COUNTIF(D7:R7,"A/R")&lt;&gt;1,"Revisar A",IF(COUNTIF(D7:R7,"R")+COUNTIF(D7:R7,"A/R")=0,"Falta R","OK"))</f>
        <v>OK</v>
      </c>
    </row>
    <row r="8" customFormat="false" ht="15" hidden="false" customHeight="false" outlineLevel="0" collapsed="false">
      <c r="A8" s="13" t="s">
        <v>59</v>
      </c>
      <c r="B8" s="13" t="s">
        <v>78</v>
      </c>
      <c r="C8" s="13" t="s">
        <v>79</v>
      </c>
      <c r="D8" s="9" t="s">
        <v>42</v>
      </c>
      <c r="E8" s="10" t="s">
        <v>44</v>
      </c>
      <c r="F8" s="17"/>
      <c r="G8" s="17"/>
      <c r="H8" s="17"/>
      <c r="I8" s="11" t="s">
        <v>48</v>
      </c>
      <c r="J8" s="12" t="s">
        <v>50</v>
      </c>
      <c r="K8" s="12" t="s">
        <v>50</v>
      </c>
      <c r="L8" s="12" t="s">
        <v>50</v>
      </c>
      <c r="M8" s="11" t="s">
        <v>48</v>
      </c>
      <c r="N8" s="17"/>
      <c r="O8" s="17"/>
      <c r="P8" s="17"/>
      <c r="Q8" s="17"/>
      <c r="R8" s="17"/>
      <c r="S8" s="18" t="str">
        <f aca="false">IF(COUNTIF(D8:R8,"A")+COUNTIF(D8:R8,"A/R")&lt;&gt;1,"Revisar A",IF(COUNTIF(D8:R8,"R")+COUNTIF(D8:R8,"A/R")=0,"Falta R","OK"))</f>
        <v>OK</v>
      </c>
    </row>
    <row r="9" customFormat="false" ht="15" hidden="false" customHeight="false" outlineLevel="0" collapsed="false">
      <c r="A9" s="13" t="s">
        <v>59</v>
      </c>
      <c r="B9" s="13" t="s">
        <v>81</v>
      </c>
      <c r="C9" s="13" t="s">
        <v>82</v>
      </c>
      <c r="D9" s="9" t="s">
        <v>42</v>
      </c>
      <c r="E9" s="10" t="s">
        <v>44</v>
      </c>
      <c r="F9" s="17"/>
      <c r="G9" s="17"/>
      <c r="H9" s="10" t="s">
        <v>44</v>
      </c>
      <c r="I9" s="11" t="s">
        <v>48</v>
      </c>
      <c r="J9" s="17"/>
      <c r="K9" s="17"/>
      <c r="L9" s="17"/>
      <c r="M9" s="12" t="s">
        <v>50</v>
      </c>
      <c r="N9" s="17"/>
      <c r="O9" s="17"/>
      <c r="P9" s="17"/>
      <c r="Q9" s="17"/>
      <c r="R9" s="17"/>
      <c r="S9" s="18" t="str">
        <f aca="false">IF(COUNTIF(D9:R9,"A")+COUNTIF(D9:R9,"A/R")&lt;&gt;1,"Revisar A",IF(COUNTIF(D9:R9,"R")+COUNTIF(D9:R9,"A/R")=0,"Falta R","OK"))</f>
        <v>OK</v>
      </c>
    </row>
    <row r="10" customFormat="false" ht="15" hidden="false" customHeight="false" outlineLevel="0" collapsed="false">
      <c r="A10" s="13" t="s">
        <v>86</v>
      </c>
      <c r="B10" s="13" t="s">
        <v>87</v>
      </c>
      <c r="C10" s="13" t="s">
        <v>88</v>
      </c>
      <c r="D10" s="17"/>
      <c r="E10" s="17"/>
      <c r="F10" s="9" t="s">
        <v>46</v>
      </c>
      <c r="G10" s="17"/>
      <c r="H10" s="12" t="s">
        <v>50</v>
      </c>
      <c r="I10" s="12" t="s">
        <v>50</v>
      </c>
      <c r="J10" s="17"/>
      <c r="K10" s="11" t="s">
        <v>48</v>
      </c>
      <c r="L10" s="11" t="s">
        <v>48</v>
      </c>
      <c r="M10" s="17"/>
      <c r="N10" s="17"/>
      <c r="O10" s="17"/>
      <c r="P10" s="17"/>
      <c r="Q10" s="17"/>
      <c r="R10" s="17"/>
      <c r="S10" s="18" t="str">
        <f aca="false">IF(COUNTIF(D10:R10,"A")+COUNTIF(D10:R10,"A/R")&lt;&gt;1,"Revisar A",IF(COUNTIF(D10:R10,"R")+COUNTIF(D10:R10,"A/R")=0,"Falta R","OK"))</f>
        <v>OK</v>
      </c>
    </row>
    <row r="11" customFormat="false" ht="15" hidden="false" customHeight="false" outlineLevel="0" collapsed="false">
      <c r="A11" s="13" t="s">
        <v>86</v>
      </c>
      <c r="B11" s="13" t="s">
        <v>92</v>
      </c>
      <c r="C11" s="13" t="s">
        <v>93</v>
      </c>
      <c r="D11" s="17"/>
      <c r="E11" s="9" t="s">
        <v>42</v>
      </c>
      <c r="F11" s="10" t="s">
        <v>44</v>
      </c>
      <c r="G11" s="11" t="s">
        <v>48</v>
      </c>
      <c r="H11" s="17"/>
      <c r="I11" s="11" t="s">
        <v>48</v>
      </c>
      <c r="J11" s="12" t="s">
        <v>50</v>
      </c>
      <c r="K11" s="17"/>
      <c r="L11" s="12" t="s">
        <v>50</v>
      </c>
      <c r="M11" s="17"/>
      <c r="N11" s="11" t="s">
        <v>48</v>
      </c>
      <c r="O11" s="17"/>
      <c r="P11" s="17"/>
      <c r="Q11" s="17"/>
      <c r="R11" s="17"/>
      <c r="S11" s="18" t="str">
        <f aca="false">IF(COUNTIF(D11:R11,"A")+COUNTIF(D11:R11,"A/R")&lt;&gt;1,"Revisar A",IF(COUNTIF(D11:R11,"R")+COUNTIF(D11:R11,"A/R")=0,"Falta R","OK"))</f>
        <v>OK</v>
      </c>
    </row>
    <row r="12" customFormat="false" ht="15" hidden="false" customHeight="false" outlineLevel="0" collapsed="false">
      <c r="A12" s="13" t="s">
        <v>86</v>
      </c>
      <c r="B12" s="13" t="s">
        <v>95</v>
      </c>
      <c r="C12" s="13" t="s">
        <v>96</v>
      </c>
      <c r="D12" s="17"/>
      <c r="E12" s="17"/>
      <c r="F12" s="9" t="s">
        <v>46</v>
      </c>
      <c r="G12" s="17"/>
      <c r="H12" s="17"/>
      <c r="I12" s="12" t="s">
        <v>50</v>
      </c>
      <c r="J12" s="17"/>
      <c r="K12" s="10" t="s">
        <v>44</v>
      </c>
      <c r="L12" s="17"/>
      <c r="M12" s="17"/>
      <c r="N12" s="17"/>
      <c r="O12" s="11" t="s">
        <v>48</v>
      </c>
      <c r="P12" s="17"/>
      <c r="Q12" s="17"/>
      <c r="R12" s="17"/>
      <c r="S12" s="18" t="str">
        <f aca="false">IF(COUNTIF(D12:R12,"A")+COUNTIF(D12:R12,"A/R")&lt;&gt;1,"Revisar A",IF(COUNTIF(D12:R12,"R")+COUNTIF(D12:R12,"A/R")=0,"Falta R","OK"))</f>
        <v>OK</v>
      </c>
    </row>
    <row r="13" customFormat="false" ht="15" hidden="false" customHeight="false" outlineLevel="0" collapsed="false">
      <c r="A13" s="13" t="s">
        <v>86</v>
      </c>
      <c r="B13" s="13" t="s">
        <v>99</v>
      </c>
      <c r="C13" s="13" t="s">
        <v>100</v>
      </c>
      <c r="D13" s="17"/>
      <c r="E13" s="17"/>
      <c r="F13" s="12" t="s">
        <v>50</v>
      </c>
      <c r="G13" s="17"/>
      <c r="H13" s="17"/>
      <c r="I13" s="9" t="s">
        <v>42</v>
      </c>
      <c r="J13" s="12" t="s">
        <v>50</v>
      </c>
      <c r="K13" s="10" t="s">
        <v>44</v>
      </c>
      <c r="L13" s="17"/>
      <c r="M13" s="17"/>
      <c r="N13" s="17"/>
      <c r="O13" s="11" t="s">
        <v>48</v>
      </c>
      <c r="P13" s="17"/>
      <c r="Q13" s="17"/>
      <c r="R13" s="11" t="s">
        <v>48</v>
      </c>
      <c r="S13" s="18" t="str">
        <f aca="false">IF(COUNTIF(D13:R13,"A")+COUNTIF(D13:R13,"A/R")&lt;&gt;1,"Revisar A",IF(COUNTIF(D13:R13,"R")+COUNTIF(D13:R13,"A/R")=0,"Falta R","OK"))</f>
        <v>OK</v>
      </c>
    </row>
    <row r="14" customFormat="false" ht="15" hidden="false" customHeight="false" outlineLevel="0" collapsed="false">
      <c r="A14" s="13" t="s">
        <v>86</v>
      </c>
      <c r="B14" s="13" t="s">
        <v>104</v>
      </c>
      <c r="C14" s="13" t="s">
        <v>105</v>
      </c>
      <c r="D14" s="12" t="s">
        <v>50</v>
      </c>
      <c r="E14" s="9" t="s">
        <v>42</v>
      </c>
      <c r="F14" s="10" t="s">
        <v>44</v>
      </c>
      <c r="G14" s="17"/>
      <c r="H14" s="17"/>
      <c r="I14" s="11" t="s">
        <v>48</v>
      </c>
      <c r="J14" s="17"/>
      <c r="K14" s="17"/>
      <c r="L14" s="17"/>
      <c r="M14" s="17"/>
      <c r="N14" s="17"/>
      <c r="O14" s="17"/>
      <c r="P14" s="17"/>
      <c r="Q14" s="17"/>
      <c r="R14" s="17"/>
      <c r="S14" s="18" t="str">
        <f aca="false">IF(COUNTIF(D14:R14,"A")+COUNTIF(D14:R14,"A/R")&lt;&gt;1,"Revisar A",IF(COUNTIF(D14:R14,"R")+COUNTIF(D14:R14,"A/R")=0,"Falta R","OK"))</f>
        <v>OK</v>
      </c>
    </row>
    <row r="15" customFormat="false" ht="15" hidden="false" customHeight="false" outlineLevel="0" collapsed="false">
      <c r="A15" s="13" t="s">
        <v>107</v>
      </c>
      <c r="B15" s="13" t="s">
        <v>108</v>
      </c>
      <c r="C15" s="13" t="s">
        <v>109</v>
      </c>
      <c r="D15" s="17"/>
      <c r="E15" s="17"/>
      <c r="F15" s="17"/>
      <c r="G15" s="11" t="s">
        <v>48</v>
      </c>
      <c r="H15" s="17"/>
      <c r="I15" s="9" t="s">
        <v>42</v>
      </c>
      <c r="J15" s="10" t="s">
        <v>44</v>
      </c>
      <c r="K15" s="12" t="s">
        <v>50</v>
      </c>
      <c r="L15" s="12" t="s">
        <v>50</v>
      </c>
      <c r="M15" s="17"/>
      <c r="N15" s="11" t="s">
        <v>48</v>
      </c>
      <c r="O15" s="17"/>
      <c r="P15" s="17"/>
      <c r="Q15" s="17"/>
      <c r="R15" s="17"/>
      <c r="S15" s="18" t="str">
        <f aca="false">IF(COUNTIF(D15:R15,"A")+COUNTIF(D15:R15,"A/R")&lt;&gt;1,"Revisar A",IF(COUNTIF(D15:R15,"R")+COUNTIF(D15:R15,"A/R")=0,"Falta R","OK"))</f>
        <v>OK</v>
      </c>
    </row>
    <row r="16" customFormat="false" ht="15" hidden="false" customHeight="false" outlineLevel="0" collapsed="false">
      <c r="A16" s="13" t="s">
        <v>107</v>
      </c>
      <c r="B16" s="13" t="s">
        <v>112</v>
      </c>
      <c r="C16" s="13" t="s">
        <v>113</v>
      </c>
      <c r="D16" s="12" t="s">
        <v>50</v>
      </c>
      <c r="E16" s="17"/>
      <c r="F16" s="17"/>
      <c r="G16" s="9" t="s">
        <v>42</v>
      </c>
      <c r="H16" s="17"/>
      <c r="I16" s="11" t="s">
        <v>48</v>
      </c>
      <c r="J16" s="10" t="s">
        <v>44</v>
      </c>
      <c r="K16" s="17"/>
      <c r="L16" s="17"/>
      <c r="M16" s="17"/>
      <c r="N16" s="11" t="s">
        <v>48</v>
      </c>
      <c r="O16" s="17"/>
      <c r="P16" s="17"/>
      <c r="Q16" s="17"/>
      <c r="R16" s="17"/>
      <c r="S16" s="18" t="str">
        <f aca="false">IF(COUNTIF(D16:R16,"A")+COUNTIF(D16:R16,"A/R")&lt;&gt;1,"Revisar A",IF(COUNTIF(D16:R16,"R")+COUNTIF(D16:R16,"A/R")=0,"Falta R","OK"))</f>
        <v>OK</v>
      </c>
    </row>
    <row r="17" customFormat="false" ht="15" hidden="false" customHeight="false" outlineLevel="0" collapsed="false">
      <c r="A17" s="13" t="s">
        <v>107</v>
      </c>
      <c r="B17" s="13" t="s">
        <v>115</v>
      </c>
      <c r="C17" s="13" t="s">
        <v>116</v>
      </c>
      <c r="D17" s="17"/>
      <c r="E17" s="17"/>
      <c r="F17" s="17"/>
      <c r="G17" s="12" t="s">
        <v>50</v>
      </c>
      <c r="H17" s="17"/>
      <c r="I17" s="9" t="s">
        <v>42</v>
      </c>
      <c r="J17" s="10" t="s">
        <v>44</v>
      </c>
      <c r="K17" s="17"/>
      <c r="L17" s="17"/>
      <c r="M17" s="17"/>
      <c r="N17" s="11" t="s">
        <v>48</v>
      </c>
      <c r="O17" s="17"/>
      <c r="P17" s="17"/>
      <c r="Q17" s="17"/>
      <c r="R17" s="17"/>
      <c r="S17" s="18" t="str">
        <f aca="false">IF(COUNTIF(D17:R17,"A")+COUNTIF(D17:R17,"A/R")&lt;&gt;1,"Revisar A",IF(COUNTIF(D17:R17,"R")+COUNTIF(D17:R17,"A/R")=0,"Falta R","OK"))</f>
        <v>OK</v>
      </c>
    </row>
    <row r="18" customFormat="false" ht="15" hidden="false" customHeight="false" outlineLevel="0" collapsed="false">
      <c r="A18" s="13" t="s">
        <v>107</v>
      </c>
      <c r="B18" s="13" t="s">
        <v>118</v>
      </c>
      <c r="C18" s="13" t="s">
        <v>119</v>
      </c>
      <c r="D18" s="12" t="s">
        <v>50</v>
      </c>
      <c r="E18" s="17"/>
      <c r="F18" s="17"/>
      <c r="G18" s="9" t="s">
        <v>42</v>
      </c>
      <c r="H18" s="17"/>
      <c r="I18" s="11" t="s">
        <v>48</v>
      </c>
      <c r="J18" s="10" t="s">
        <v>44</v>
      </c>
      <c r="K18" s="17"/>
      <c r="L18" s="17"/>
      <c r="M18" s="17"/>
      <c r="N18" s="11" t="s">
        <v>48</v>
      </c>
      <c r="O18" s="17"/>
      <c r="P18" s="17"/>
      <c r="Q18" s="17"/>
      <c r="R18" s="17"/>
      <c r="S18" s="18" t="str">
        <f aca="false">IF(COUNTIF(D18:R18,"A")+COUNTIF(D18:R18,"A/R")&lt;&gt;1,"Revisar A",IF(COUNTIF(D18:R18,"R")+COUNTIF(D18:R18,"A/R")=0,"Falta R","OK"))</f>
        <v>OK</v>
      </c>
    </row>
    <row r="19" customFormat="false" ht="15" hidden="false" customHeight="false" outlineLevel="0" collapsed="false">
      <c r="A19" s="13" t="s">
        <v>121</v>
      </c>
      <c r="B19" s="13" t="s">
        <v>122</v>
      </c>
      <c r="C19" s="13" t="s">
        <v>123</v>
      </c>
      <c r="D19" s="17"/>
      <c r="E19" s="17"/>
      <c r="F19" s="17"/>
      <c r="G19" s="17"/>
      <c r="H19" s="17"/>
      <c r="I19" s="9" t="s">
        <v>42</v>
      </c>
      <c r="J19" s="10" t="s">
        <v>44</v>
      </c>
      <c r="K19" s="12" t="s">
        <v>50</v>
      </c>
      <c r="L19" s="17"/>
      <c r="M19" s="17"/>
      <c r="N19" s="11" t="s">
        <v>48</v>
      </c>
      <c r="O19" s="17"/>
      <c r="P19" s="17"/>
      <c r="Q19" s="17"/>
      <c r="R19" s="17"/>
      <c r="S19" s="18" t="str">
        <f aca="false">IF(COUNTIF(D19:R19,"A")+COUNTIF(D19:R19,"A/R")&lt;&gt;1,"Revisar A",IF(COUNTIF(D19:R19,"R")+COUNTIF(D19:R19,"A/R")=0,"Falta R","OK"))</f>
        <v>OK</v>
      </c>
    </row>
    <row r="20" customFormat="false" ht="15" hidden="false" customHeight="false" outlineLevel="0" collapsed="false">
      <c r="A20" s="13" t="s">
        <v>121</v>
      </c>
      <c r="B20" s="13" t="s">
        <v>125</v>
      </c>
      <c r="C20" s="13" t="s">
        <v>126</v>
      </c>
      <c r="D20" s="17"/>
      <c r="E20" s="17"/>
      <c r="F20" s="17"/>
      <c r="G20" s="17"/>
      <c r="H20" s="17"/>
      <c r="I20" s="9" t="s">
        <v>42</v>
      </c>
      <c r="J20" s="11" t="s">
        <v>48</v>
      </c>
      <c r="K20" s="17"/>
      <c r="L20" s="17"/>
      <c r="M20" s="17"/>
      <c r="N20" s="12" t="s">
        <v>50</v>
      </c>
      <c r="O20" s="17"/>
      <c r="P20" s="10" t="s">
        <v>44</v>
      </c>
      <c r="Q20" s="17"/>
      <c r="R20" s="17"/>
      <c r="S20" s="18" t="str">
        <f aca="false">IF(COUNTIF(D20:R20,"A")+COUNTIF(D20:R20,"A/R")&lt;&gt;1,"Revisar A",IF(COUNTIF(D20:R20,"R")+COUNTIF(D20:R20,"A/R")=0,"Falta R","OK"))</f>
        <v>OK</v>
      </c>
    </row>
    <row r="21" customFormat="false" ht="15" hidden="false" customHeight="false" outlineLevel="0" collapsed="false">
      <c r="A21" s="13" t="s">
        <v>121</v>
      </c>
      <c r="B21" s="13" t="s">
        <v>129</v>
      </c>
      <c r="C21" s="13" t="s">
        <v>130</v>
      </c>
      <c r="D21" s="17"/>
      <c r="E21" s="17"/>
      <c r="F21" s="17"/>
      <c r="G21" s="17"/>
      <c r="H21" s="17"/>
      <c r="I21" s="9" t="s">
        <v>42</v>
      </c>
      <c r="J21" s="10" t="s">
        <v>44</v>
      </c>
      <c r="K21" s="17"/>
      <c r="L21" s="17"/>
      <c r="M21" s="17"/>
      <c r="N21" s="11" t="s">
        <v>48</v>
      </c>
      <c r="O21" s="17"/>
      <c r="P21" s="12" t="s">
        <v>50</v>
      </c>
      <c r="Q21" s="17"/>
      <c r="R21" s="17"/>
      <c r="S21" s="18" t="str">
        <f aca="false">IF(COUNTIF(D21:R21,"A")+COUNTIF(D21:R21,"A/R")&lt;&gt;1,"Revisar A",IF(COUNTIF(D21:R21,"R")+COUNTIF(D21:R21,"A/R")=0,"Falta R","OK"))</f>
        <v>OK</v>
      </c>
    </row>
    <row r="22" customFormat="false" ht="15" hidden="false" customHeight="false" outlineLevel="0" collapsed="false">
      <c r="A22" s="13" t="s">
        <v>121</v>
      </c>
      <c r="B22" s="13" t="s">
        <v>132</v>
      </c>
      <c r="C22" s="13" t="s">
        <v>133</v>
      </c>
      <c r="D22" s="17"/>
      <c r="E22" s="17"/>
      <c r="F22" s="17"/>
      <c r="G22" s="11" t="s">
        <v>48</v>
      </c>
      <c r="H22" s="17"/>
      <c r="I22" s="9" t="s">
        <v>42</v>
      </c>
      <c r="J22" s="10" t="s">
        <v>44</v>
      </c>
      <c r="K22" s="11" t="s">
        <v>48</v>
      </c>
      <c r="L22" s="17"/>
      <c r="M22" s="12" t="s">
        <v>50</v>
      </c>
      <c r="N22" s="11" t="s">
        <v>48</v>
      </c>
      <c r="O22" s="17"/>
      <c r="P22" s="17"/>
      <c r="Q22" s="17"/>
      <c r="R22" s="17"/>
      <c r="S22" s="18" t="str">
        <f aca="false">IF(COUNTIF(D22:R22,"A")+COUNTIF(D22:R22,"A/R")&lt;&gt;1,"Revisar A",IF(COUNTIF(D22:R22,"R")+COUNTIF(D22:R22,"A/R")=0,"Falta R","OK"))</f>
        <v>OK</v>
      </c>
    </row>
    <row r="23" customFormat="false" ht="15" hidden="false" customHeight="false" outlineLevel="0" collapsed="false">
      <c r="A23" s="13" t="s">
        <v>135</v>
      </c>
      <c r="B23" s="13" t="s">
        <v>136</v>
      </c>
      <c r="C23" s="13" t="s">
        <v>137</v>
      </c>
      <c r="D23" s="17"/>
      <c r="E23" s="17"/>
      <c r="F23" s="11" t="s">
        <v>48</v>
      </c>
      <c r="G23" s="17"/>
      <c r="H23" s="17"/>
      <c r="I23" s="9" t="s">
        <v>42</v>
      </c>
      <c r="J23" s="17"/>
      <c r="K23" s="12" t="s">
        <v>50</v>
      </c>
      <c r="L23" s="10" t="s">
        <v>44</v>
      </c>
      <c r="M23" s="17"/>
      <c r="N23" s="17"/>
      <c r="O23" s="17"/>
      <c r="P23" s="17"/>
      <c r="Q23" s="12" t="s">
        <v>50</v>
      </c>
      <c r="R23" s="17"/>
      <c r="S23" s="18" t="str">
        <f aca="false">IF(COUNTIF(D23:R23,"A")+COUNTIF(D23:R23,"A/R")&lt;&gt;1,"Revisar A",IF(COUNTIF(D23:R23,"R")+COUNTIF(D23:R23,"A/R")=0,"Falta R","OK"))</f>
        <v>OK</v>
      </c>
    </row>
    <row r="24" customFormat="false" ht="15" hidden="false" customHeight="false" outlineLevel="0" collapsed="false">
      <c r="A24" s="13" t="s">
        <v>135</v>
      </c>
      <c r="B24" s="13" t="s">
        <v>140</v>
      </c>
      <c r="C24" s="13" t="s">
        <v>141</v>
      </c>
      <c r="D24" s="17"/>
      <c r="E24" s="17"/>
      <c r="F24" s="17"/>
      <c r="G24" s="17"/>
      <c r="H24" s="17"/>
      <c r="I24" s="9" t="s">
        <v>42</v>
      </c>
      <c r="J24" s="10" t="s">
        <v>44</v>
      </c>
      <c r="K24" s="11" t="s">
        <v>48</v>
      </c>
      <c r="L24" s="11" t="s">
        <v>48</v>
      </c>
      <c r="M24" s="17"/>
      <c r="N24" s="12" t="s">
        <v>50</v>
      </c>
      <c r="O24" s="17"/>
      <c r="P24" s="17"/>
      <c r="Q24" s="17"/>
      <c r="R24" s="17"/>
      <c r="S24" s="18" t="str">
        <f aca="false">IF(COUNTIF(D24:R24,"A")+COUNTIF(D24:R24,"A/R")&lt;&gt;1,"Revisar A",IF(COUNTIF(D24:R24,"R")+COUNTIF(D24:R24,"A/R")=0,"Falta R","OK"))</f>
        <v>OK</v>
      </c>
    </row>
    <row r="25" customFormat="false" ht="15" hidden="false" customHeight="false" outlineLevel="0" collapsed="false">
      <c r="A25" s="13" t="s">
        <v>135</v>
      </c>
      <c r="B25" s="13" t="s">
        <v>143</v>
      </c>
      <c r="C25" s="13" t="s">
        <v>144</v>
      </c>
      <c r="D25" s="17"/>
      <c r="E25" s="17"/>
      <c r="F25" s="17"/>
      <c r="G25" s="17"/>
      <c r="H25" s="17"/>
      <c r="I25" s="9" t="s">
        <v>42</v>
      </c>
      <c r="J25" s="17"/>
      <c r="K25" s="11" t="s">
        <v>48</v>
      </c>
      <c r="L25" s="10" t="s">
        <v>44</v>
      </c>
      <c r="M25" s="17"/>
      <c r="N25" s="17"/>
      <c r="O25" s="12" t="s">
        <v>50</v>
      </c>
      <c r="P25" s="17"/>
      <c r="Q25" s="17"/>
      <c r="R25" s="17"/>
      <c r="S25" s="18" t="str">
        <f aca="false">IF(COUNTIF(D25:R25,"A")+COUNTIF(D25:R25,"A/R")&lt;&gt;1,"Revisar A",IF(COUNTIF(D25:R25,"R")+COUNTIF(D25:R25,"A/R")=0,"Falta R","OK"))</f>
        <v>OK</v>
      </c>
    </row>
    <row r="26" customFormat="false" ht="15" hidden="false" customHeight="false" outlineLevel="0" collapsed="false">
      <c r="A26" s="13" t="s">
        <v>135</v>
      </c>
      <c r="B26" s="13" t="s">
        <v>146</v>
      </c>
      <c r="C26" s="13" t="s">
        <v>147</v>
      </c>
      <c r="D26" s="17"/>
      <c r="E26" s="17"/>
      <c r="F26" s="17"/>
      <c r="G26" s="12" t="s">
        <v>50</v>
      </c>
      <c r="H26" s="17"/>
      <c r="I26" s="9" t="s">
        <v>42</v>
      </c>
      <c r="J26" s="17"/>
      <c r="K26" s="17"/>
      <c r="L26" s="10" t="s">
        <v>44</v>
      </c>
      <c r="M26" s="17"/>
      <c r="N26" s="17"/>
      <c r="O26" s="17"/>
      <c r="P26" s="17"/>
      <c r="Q26" s="11" t="s">
        <v>48</v>
      </c>
      <c r="R26" s="17"/>
      <c r="S26" s="18" t="str">
        <f aca="false">IF(COUNTIF(D26:R26,"A")+COUNTIF(D26:R26,"A/R")&lt;&gt;1,"Revisar A",IF(COUNTIF(D26:R26,"R")+COUNTIF(D26:R26,"A/R")=0,"Falta R","OK"))</f>
        <v>OK</v>
      </c>
    </row>
    <row r="27" customFormat="false" ht="15" hidden="false" customHeight="false" outlineLevel="0" collapsed="false">
      <c r="A27" s="13" t="s">
        <v>149</v>
      </c>
      <c r="B27" s="13" t="s">
        <v>150</v>
      </c>
      <c r="C27" s="13" t="s">
        <v>151</v>
      </c>
      <c r="D27" s="17"/>
      <c r="E27" s="17"/>
      <c r="F27" s="17"/>
      <c r="G27" s="12" t="s">
        <v>50</v>
      </c>
      <c r="H27" s="17"/>
      <c r="I27" s="9" t="s">
        <v>42</v>
      </c>
      <c r="J27" s="17"/>
      <c r="K27" s="10" t="s">
        <v>44</v>
      </c>
      <c r="L27" s="17"/>
      <c r="M27" s="12" t="s">
        <v>50</v>
      </c>
      <c r="N27" s="17"/>
      <c r="O27" s="11" t="s">
        <v>48</v>
      </c>
      <c r="P27" s="17"/>
      <c r="Q27" s="17"/>
      <c r="R27" s="17"/>
      <c r="S27" s="18" t="str">
        <f aca="false">IF(COUNTIF(D27:R27,"A")+COUNTIF(D27:R27,"A/R")&lt;&gt;1,"Revisar A",IF(COUNTIF(D27:R27,"R")+COUNTIF(D27:R27,"A/R")=0,"Falta R","OK"))</f>
        <v>OK</v>
      </c>
    </row>
    <row r="28" customFormat="false" ht="15" hidden="false" customHeight="false" outlineLevel="0" collapsed="false">
      <c r="A28" s="13" t="s">
        <v>149</v>
      </c>
      <c r="B28" s="13" t="s">
        <v>153</v>
      </c>
      <c r="C28" s="13" t="s">
        <v>154</v>
      </c>
      <c r="D28" s="12" t="s">
        <v>50</v>
      </c>
      <c r="E28" s="17"/>
      <c r="F28" s="17"/>
      <c r="G28" s="9" t="s">
        <v>42</v>
      </c>
      <c r="H28" s="17"/>
      <c r="I28" s="10" t="s">
        <v>44</v>
      </c>
      <c r="J28" s="17"/>
      <c r="K28" s="11" t="s">
        <v>48</v>
      </c>
      <c r="L28" s="17"/>
      <c r="M28" s="11" t="s">
        <v>48</v>
      </c>
      <c r="N28" s="12" t="s">
        <v>50</v>
      </c>
      <c r="O28" s="17"/>
      <c r="P28" s="17"/>
      <c r="Q28" s="17"/>
      <c r="R28" s="17"/>
      <c r="S28" s="18" t="str">
        <f aca="false">IF(COUNTIF(D28:R28,"A")+COUNTIF(D28:R28,"A/R")&lt;&gt;1,"Revisar A",IF(COUNTIF(D28:R28,"R")+COUNTIF(D28:R28,"A/R")=0,"Falta R","OK"))</f>
        <v>OK</v>
      </c>
    </row>
    <row r="29" customFormat="false" ht="15" hidden="false" customHeight="false" outlineLevel="0" collapsed="false">
      <c r="A29" s="13" t="s">
        <v>149</v>
      </c>
      <c r="B29" s="13" t="s">
        <v>156</v>
      </c>
      <c r="C29" s="13" t="s">
        <v>157</v>
      </c>
      <c r="D29" s="17"/>
      <c r="E29" s="17"/>
      <c r="F29" s="17"/>
      <c r="G29" s="17"/>
      <c r="H29" s="17"/>
      <c r="I29" s="9" t="s">
        <v>42</v>
      </c>
      <c r="J29" s="17"/>
      <c r="K29" s="10" t="s">
        <v>44</v>
      </c>
      <c r="L29" s="17"/>
      <c r="M29" s="17"/>
      <c r="N29" s="17"/>
      <c r="O29" s="12" t="s">
        <v>50</v>
      </c>
      <c r="P29" s="11" t="s">
        <v>48</v>
      </c>
      <c r="Q29" s="17"/>
      <c r="R29" s="17"/>
      <c r="S29" s="18" t="str">
        <f aca="false">IF(COUNTIF(D29:R29,"A")+COUNTIF(D29:R29,"A/R")&lt;&gt;1,"Revisar A",IF(COUNTIF(D29:R29,"R")+COUNTIF(D29:R29,"A/R")=0,"Falta R","OK"))</f>
        <v>OK</v>
      </c>
    </row>
    <row r="30" customFormat="false" ht="15" hidden="false" customHeight="false" outlineLevel="0" collapsed="false">
      <c r="A30" s="13" t="s">
        <v>159</v>
      </c>
      <c r="B30" s="13" t="s">
        <v>160</v>
      </c>
      <c r="C30" s="13" t="s">
        <v>161</v>
      </c>
      <c r="D30" s="17"/>
      <c r="E30" s="17"/>
      <c r="F30" s="17"/>
      <c r="G30" s="17"/>
      <c r="H30" s="17"/>
      <c r="I30" s="9" t="s">
        <v>42</v>
      </c>
      <c r="J30" s="11" t="s">
        <v>48</v>
      </c>
      <c r="K30" s="10" t="s">
        <v>44</v>
      </c>
      <c r="L30" s="11" t="s">
        <v>48</v>
      </c>
      <c r="M30" s="12" t="s">
        <v>50</v>
      </c>
      <c r="N30" s="12" t="s">
        <v>50</v>
      </c>
      <c r="O30" s="11" t="s">
        <v>48</v>
      </c>
      <c r="P30" s="17"/>
      <c r="Q30" s="17"/>
      <c r="R30" s="17"/>
      <c r="S30" s="18" t="str">
        <f aca="false">IF(COUNTIF(D30:R30,"A")+COUNTIF(D30:R30,"A/R")&lt;&gt;1,"Revisar A",IF(COUNTIF(D30:R30,"R")+COUNTIF(D30:R30,"A/R")=0,"Falta R","OK"))</f>
        <v>OK</v>
      </c>
    </row>
    <row r="31" customFormat="false" ht="15" hidden="false" customHeight="false" outlineLevel="0" collapsed="false">
      <c r="A31" s="13" t="s">
        <v>159</v>
      </c>
      <c r="B31" s="13" t="s">
        <v>163</v>
      </c>
      <c r="C31" s="13" t="s">
        <v>164</v>
      </c>
      <c r="D31" s="17"/>
      <c r="E31" s="17"/>
      <c r="F31" s="17"/>
      <c r="G31" s="17"/>
      <c r="H31" s="17"/>
      <c r="I31" s="9" t="s">
        <v>42</v>
      </c>
      <c r="J31" s="12" t="s">
        <v>50</v>
      </c>
      <c r="K31" s="10" t="s">
        <v>44</v>
      </c>
      <c r="L31" s="17"/>
      <c r="M31" s="17"/>
      <c r="N31" s="17"/>
      <c r="O31" s="11" t="s">
        <v>48</v>
      </c>
      <c r="P31" s="17"/>
      <c r="Q31" s="17"/>
      <c r="R31" s="17"/>
      <c r="S31" s="18" t="str">
        <f aca="false">IF(COUNTIF(D31:R31,"A")+COUNTIF(D31:R31,"A/R")&lt;&gt;1,"Revisar A",IF(COUNTIF(D31:R31,"R")+COUNTIF(D31:R31,"A/R")=0,"Falta R","OK"))</f>
        <v>OK</v>
      </c>
    </row>
    <row r="32" customFormat="false" ht="15" hidden="false" customHeight="false" outlineLevel="0" collapsed="false">
      <c r="A32" s="13" t="s">
        <v>159</v>
      </c>
      <c r="B32" s="13" t="s">
        <v>166</v>
      </c>
      <c r="C32" s="13" t="s">
        <v>167</v>
      </c>
      <c r="D32" s="17"/>
      <c r="E32" s="17"/>
      <c r="F32" s="17"/>
      <c r="G32" s="17"/>
      <c r="H32" s="17"/>
      <c r="I32" s="9" t="s">
        <v>42</v>
      </c>
      <c r="J32" s="11" t="s">
        <v>48</v>
      </c>
      <c r="K32" s="10" t="s">
        <v>44</v>
      </c>
      <c r="L32" s="17"/>
      <c r="M32" s="17"/>
      <c r="N32" s="17"/>
      <c r="O32" s="12" t="s">
        <v>50</v>
      </c>
      <c r="P32" s="17"/>
      <c r="Q32" s="17"/>
      <c r="R32" s="17"/>
      <c r="S32" s="18" t="str">
        <f aca="false">IF(COUNTIF(D32:R32,"A")+COUNTIF(D32:R32,"A/R")&lt;&gt;1,"Revisar A",IF(COUNTIF(D32:R32,"R")+COUNTIF(D32:R32,"A/R")=0,"Falta R","OK"))</f>
        <v>OK</v>
      </c>
    </row>
    <row r="33" customFormat="false" ht="15" hidden="false" customHeight="false" outlineLevel="0" collapsed="false">
      <c r="A33" s="13" t="s">
        <v>159</v>
      </c>
      <c r="B33" s="13" t="s">
        <v>169</v>
      </c>
      <c r="C33" s="13" t="s">
        <v>170</v>
      </c>
      <c r="D33" s="17"/>
      <c r="E33" s="17"/>
      <c r="F33" s="17"/>
      <c r="G33" s="17"/>
      <c r="H33" s="17"/>
      <c r="I33" s="9" t="s">
        <v>42</v>
      </c>
      <c r="J33" s="11" t="s">
        <v>48</v>
      </c>
      <c r="K33" s="10" t="s">
        <v>44</v>
      </c>
      <c r="L33" s="17"/>
      <c r="M33" s="17"/>
      <c r="N33" s="12" t="s">
        <v>50</v>
      </c>
      <c r="O33" s="11" t="s">
        <v>48</v>
      </c>
      <c r="P33" s="17"/>
      <c r="Q33" s="17"/>
      <c r="R33" s="11" t="s">
        <v>48</v>
      </c>
      <c r="S33" s="18" t="str">
        <f aca="false">IF(COUNTIF(D33:R33,"A")+COUNTIF(D33:R33,"A/R")&lt;&gt;1,"Revisar A",IF(COUNTIF(D33:R33,"R")+COUNTIF(D33:R33,"A/R")=0,"Falta R","OK"))</f>
        <v>OK</v>
      </c>
    </row>
    <row r="34" customFormat="false" ht="15" hidden="false" customHeight="false" outlineLevel="0" collapsed="false">
      <c r="A34" s="13" t="s">
        <v>159</v>
      </c>
      <c r="B34" s="13" t="s">
        <v>172</v>
      </c>
      <c r="C34" s="13" t="s">
        <v>173</v>
      </c>
      <c r="D34" s="17"/>
      <c r="E34" s="17"/>
      <c r="F34" s="17"/>
      <c r="G34" s="17"/>
      <c r="H34" s="17"/>
      <c r="I34" s="9" t="s">
        <v>42</v>
      </c>
      <c r="J34" s="17"/>
      <c r="K34" s="10" t="s">
        <v>44</v>
      </c>
      <c r="L34" s="17"/>
      <c r="M34" s="17"/>
      <c r="N34" s="17"/>
      <c r="O34" s="11" t="s">
        <v>48</v>
      </c>
      <c r="P34" s="17"/>
      <c r="Q34" s="17"/>
      <c r="R34" s="11" t="s">
        <v>48</v>
      </c>
      <c r="S34" s="18" t="str">
        <f aca="false">IF(COUNTIF(D34:R34,"A")+COUNTIF(D34:R34,"A/R")&lt;&gt;1,"Revisar A",IF(COUNTIF(D34:R34,"R")+COUNTIF(D34:R34,"A/R")=0,"Falta R","OK"))</f>
        <v>OK</v>
      </c>
    </row>
    <row r="35" customFormat="false" ht="15" hidden="false" customHeight="false" outlineLevel="0" collapsed="false">
      <c r="A35" s="13" t="s">
        <v>175</v>
      </c>
      <c r="B35" s="13" t="s">
        <v>176</v>
      </c>
      <c r="C35" s="13" t="s">
        <v>177</v>
      </c>
      <c r="D35" s="17"/>
      <c r="E35" s="17"/>
      <c r="F35" s="17"/>
      <c r="G35" s="17"/>
      <c r="H35" s="17"/>
      <c r="I35" s="9" t="s">
        <v>42</v>
      </c>
      <c r="J35" s="10" t="s">
        <v>44</v>
      </c>
      <c r="K35" s="11" t="s">
        <v>48</v>
      </c>
      <c r="L35" s="17"/>
      <c r="M35" s="17"/>
      <c r="N35" s="12" t="s">
        <v>50</v>
      </c>
      <c r="O35" s="17"/>
      <c r="P35" s="17"/>
      <c r="Q35" s="17"/>
      <c r="R35" s="17"/>
      <c r="S35" s="18" t="str">
        <f aca="false">IF(COUNTIF(D35:R35,"A")+COUNTIF(D35:R35,"A/R")&lt;&gt;1,"Revisar A",IF(COUNTIF(D35:R35,"R")+COUNTIF(D35:R35,"A/R")=0,"Falta R","OK"))</f>
        <v>OK</v>
      </c>
    </row>
    <row r="36" customFormat="false" ht="15" hidden="false" customHeight="false" outlineLevel="0" collapsed="false">
      <c r="A36" s="13" t="s">
        <v>175</v>
      </c>
      <c r="B36" s="13" t="s">
        <v>179</v>
      </c>
      <c r="C36" s="13" t="s">
        <v>180</v>
      </c>
      <c r="D36" s="17"/>
      <c r="E36" s="17"/>
      <c r="F36" s="17"/>
      <c r="G36" s="17"/>
      <c r="H36" s="17"/>
      <c r="I36" s="9" t="s">
        <v>42</v>
      </c>
      <c r="J36" s="10" t="s">
        <v>44</v>
      </c>
      <c r="K36" s="17"/>
      <c r="L36" s="17"/>
      <c r="M36" s="17"/>
      <c r="N36" s="12" t="s">
        <v>50</v>
      </c>
      <c r="O36" s="17"/>
      <c r="P36" s="11" t="s">
        <v>48</v>
      </c>
      <c r="Q36" s="17"/>
      <c r="R36" s="17"/>
      <c r="S36" s="18" t="str">
        <f aca="false">IF(COUNTIF(D36:R36,"A")+COUNTIF(D36:R36,"A/R")&lt;&gt;1,"Revisar A",IF(COUNTIF(D36:R36,"R")+COUNTIF(D36:R36,"A/R")=0,"Falta R","OK"))</f>
        <v>OK</v>
      </c>
    </row>
    <row r="37" customFormat="false" ht="15" hidden="false" customHeight="false" outlineLevel="0" collapsed="false">
      <c r="A37" s="13" t="s">
        <v>175</v>
      </c>
      <c r="B37" s="13" t="s">
        <v>182</v>
      </c>
      <c r="C37" s="13" t="s">
        <v>183</v>
      </c>
      <c r="D37" s="17"/>
      <c r="E37" s="17"/>
      <c r="F37" s="17"/>
      <c r="G37" s="17"/>
      <c r="H37" s="17"/>
      <c r="I37" s="9" t="s">
        <v>42</v>
      </c>
      <c r="J37" s="10" t="s">
        <v>44</v>
      </c>
      <c r="K37" s="11" t="s">
        <v>48</v>
      </c>
      <c r="L37" s="17"/>
      <c r="M37" s="12" t="s">
        <v>50</v>
      </c>
      <c r="N37" s="10" t="s">
        <v>44</v>
      </c>
      <c r="O37" s="17"/>
      <c r="P37" s="17"/>
      <c r="Q37" s="17"/>
      <c r="R37" s="17"/>
      <c r="S37" s="18" t="str">
        <f aca="false">IF(COUNTIF(D37:R37,"A")+COUNTIF(D37:R37,"A/R")&lt;&gt;1,"Revisar A",IF(COUNTIF(D37:R37,"R")+COUNTIF(D37:R37,"A/R")=0,"Falta R","OK"))</f>
        <v>OK</v>
      </c>
    </row>
    <row r="38" customFormat="false" ht="15" hidden="false" customHeight="false" outlineLevel="0" collapsed="false">
      <c r="A38" s="13" t="s">
        <v>175</v>
      </c>
      <c r="B38" s="13" t="s">
        <v>186</v>
      </c>
      <c r="C38" s="13" t="s">
        <v>187</v>
      </c>
      <c r="D38" s="17"/>
      <c r="E38" s="17"/>
      <c r="F38" s="17"/>
      <c r="G38" s="17"/>
      <c r="H38" s="17"/>
      <c r="I38" s="9" t="s">
        <v>42</v>
      </c>
      <c r="J38" s="10" t="s">
        <v>44</v>
      </c>
      <c r="K38" s="17"/>
      <c r="L38" s="17"/>
      <c r="M38" s="17"/>
      <c r="N38" s="12" t="s">
        <v>50</v>
      </c>
      <c r="O38" s="17"/>
      <c r="P38" s="10" t="s">
        <v>44</v>
      </c>
      <c r="Q38" s="17"/>
      <c r="R38" s="17"/>
      <c r="S38" s="18" t="str">
        <f aca="false">IF(COUNTIF(D38:R38,"A")+COUNTIF(D38:R38,"A/R")&lt;&gt;1,"Revisar A",IF(COUNTIF(D38:R38,"R")+COUNTIF(D38:R38,"A/R")=0,"Falta R","OK"))</f>
        <v>OK</v>
      </c>
    </row>
    <row r="39" customFormat="false" ht="15" hidden="false" customHeight="false" outlineLevel="0" collapsed="false">
      <c r="A39" s="13" t="s">
        <v>190</v>
      </c>
      <c r="B39" s="13" t="s">
        <v>191</v>
      </c>
      <c r="C39" s="13" t="s">
        <v>192</v>
      </c>
      <c r="D39" s="17"/>
      <c r="E39" s="12" t="s">
        <v>50</v>
      </c>
      <c r="F39" s="17"/>
      <c r="G39" s="17"/>
      <c r="H39" s="17"/>
      <c r="I39" s="9" t="s">
        <v>42</v>
      </c>
      <c r="J39" s="17"/>
      <c r="K39" s="10" t="s">
        <v>44</v>
      </c>
      <c r="L39" s="17"/>
      <c r="M39" s="12" t="s">
        <v>50</v>
      </c>
      <c r="N39" s="17"/>
      <c r="O39" s="11" t="s">
        <v>48</v>
      </c>
      <c r="P39" s="17"/>
      <c r="Q39" s="17"/>
      <c r="R39" s="17"/>
      <c r="S39" s="18" t="str">
        <f aca="false">IF(COUNTIF(D39:R39,"A")+COUNTIF(D39:R39,"A/R")&lt;&gt;1,"Revisar A",IF(COUNTIF(D39:R39,"R")+COUNTIF(D39:R39,"A/R")=0,"Falta R","OK"))</f>
        <v>OK</v>
      </c>
    </row>
    <row r="40" customFormat="false" ht="15" hidden="false" customHeight="false" outlineLevel="0" collapsed="false">
      <c r="A40" s="13" t="s">
        <v>190</v>
      </c>
      <c r="B40" s="13" t="s">
        <v>194</v>
      </c>
      <c r="C40" s="13" t="s">
        <v>195</v>
      </c>
      <c r="D40" s="17"/>
      <c r="E40" s="12" t="s">
        <v>50</v>
      </c>
      <c r="F40" s="17"/>
      <c r="G40" s="17"/>
      <c r="H40" s="17"/>
      <c r="I40" s="12" t="s">
        <v>50</v>
      </c>
      <c r="J40" s="17"/>
      <c r="K40" s="11" t="s">
        <v>48</v>
      </c>
      <c r="L40" s="17"/>
      <c r="M40" s="9" t="s">
        <v>42</v>
      </c>
      <c r="N40" s="17"/>
      <c r="O40" s="10" t="s">
        <v>44</v>
      </c>
      <c r="P40" s="17"/>
      <c r="Q40" s="17"/>
      <c r="R40" s="17"/>
      <c r="S40" s="18" t="str">
        <f aca="false">IF(COUNTIF(D40:R40,"A")+COUNTIF(D40:R40,"A/R")&lt;&gt;1,"Revisar A",IF(COUNTIF(D40:R40,"R")+COUNTIF(D40:R40,"A/R")=0,"Falta R","OK"))</f>
        <v>OK</v>
      </c>
    </row>
    <row r="41" customFormat="false" ht="15" hidden="false" customHeight="false" outlineLevel="0" collapsed="false">
      <c r="A41" s="13" t="s">
        <v>190</v>
      </c>
      <c r="B41" s="13" t="s">
        <v>199</v>
      </c>
      <c r="C41" s="13" t="s">
        <v>200</v>
      </c>
      <c r="D41" s="17"/>
      <c r="E41" s="12" t="s">
        <v>50</v>
      </c>
      <c r="F41" s="11" t="s">
        <v>48</v>
      </c>
      <c r="G41" s="17"/>
      <c r="H41" s="17"/>
      <c r="I41" s="9" t="s">
        <v>42</v>
      </c>
      <c r="J41" s="17"/>
      <c r="K41" s="17"/>
      <c r="L41" s="10" t="s">
        <v>44</v>
      </c>
      <c r="M41" s="17"/>
      <c r="N41" s="17"/>
      <c r="O41" s="11" t="s">
        <v>48</v>
      </c>
      <c r="P41" s="17"/>
      <c r="Q41" s="17"/>
      <c r="R41" s="17"/>
      <c r="S41" s="18" t="str">
        <f aca="false">IF(COUNTIF(D41:R41,"A")+COUNTIF(D41:R41,"A/R")&lt;&gt;1,"Revisar A",IF(COUNTIF(D41:R41,"R")+COUNTIF(D41:R41,"A/R")=0,"Falta R","OK"))</f>
        <v>OK</v>
      </c>
    </row>
    <row r="42" customFormat="false" ht="15" hidden="false" customHeight="false" outlineLevel="0" collapsed="false">
      <c r="A42" s="13" t="s">
        <v>190</v>
      </c>
      <c r="B42" s="13" t="s">
        <v>202</v>
      </c>
      <c r="C42" s="13" t="s">
        <v>203</v>
      </c>
      <c r="D42" s="17"/>
      <c r="E42" s="12" t="s">
        <v>50</v>
      </c>
      <c r="F42" s="17"/>
      <c r="G42" s="17"/>
      <c r="H42" s="17"/>
      <c r="I42" s="9" t="s">
        <v>42</v>
      </c>
      <c r="J42" s="11" t="s">
        <v>48</v>
      </c>
      <c r="K42" s="10" t="s">
        <v>44</v>
      </c>
      <c r="L42" s="11" t="s">
        <v>48</v>
      </c>
      <c r="M42" s="17"/>
      <c r="N42" s="17"/>
      <c r="O42" s="11" t="s">
        <v>48</v>
      </c>
      <c r="P42" s="17"/>
      <c r="Q42" s="17"/>
      <c r="R42" s="17"/>
      <c r="S42" s="18" t="str">
        <f aca="false">IF(COUNTIF(D42:R42,"A")+COUNTIF(D42:R42,"A/R")&lt;&gt;1,"Revisar A",IF(COUNTIF(D42:R42,"R")+COUNTIF(D42:R42,"A/R")=0,"Falta R","OK"))</f>
        <v>OK</v>
      </c>
    </row>
    <row r="43" customFormat="false" ht="15" hidden="false" customHeight="false" outlineLevel="0" collapsed="false">
      <c r="A43" s="13" t="s">
        <v>205</v>
      </c>
      <c r="B43" s="13" t="s">
        <v>206</v>
      </c>
      <c r="C43" s="13" t="s">
        <v>207</v>
      </c>
      <c r="D43" s="17"/>
      <c r="E43" s="17"/>
      <c r="F43" s="10" t="s">
        <v>44</v>
      </c>
      <c r="G43" s="9" t="s">
        <v>42</v>
      </c>
      <c r="H43" s="17"/>
      <c r="I43" s="11" t="s">
        <v>48</v>
      </c>
      <c r="J43" s="17"/>
      <c r="K43" s="17"/>
      <c r="L43" s="10" t="s">
        <v>44</v>
      </c>
      <c r="M43" s="17"/>
      <c r="N43" s="17"/>
      <c r="O43" s="17"/>
      <c r="P43" s="17"/>
      <c r="Q43" s="12" t="s">
        <v>50</v>
      </c>
      <c r="R43" s="17"/>
      <c r="S43" s="18" t="str">
        <f aca="false">IF(COUNTIF(D43:R43,"A")+COUNTIF(D43:R43,"A/R")&lt;&gt;1,"Revisar A",IF(COUNTIF(D43:R43,"R")+COUNTIF(D43:R43,"A/R")=0,"Falta R","OK"))</f>
        <v>OK</v>
      </c>
    </row>
    <row r="44" customFormat="false" ht="15" hidden="false" customHeight="false" outlineLevel="0" collapsed="false">
      <c r="A44" s="13" t="s">
        <v>205</v>
      </c>
      <c r="B44" s="13" t="s">
        <v>210</v>
      </c>
      <c r="C44" s="13" t="s">
        <v>211</v>
      </c>
      <c r="D44" s="17"/>
      <c r="E44" s="17"/>
      <c r="F44" s="17"/>
      <c r="G44" s="9" t="s">
        <v>42</v>
      </c>
      <c r="H44" s="17"/>
      <c r="I44" s="12" t="s">
        <v>50</v>
      </c>
      <c r="J44" s="17"/>
      <c r="K44" s="17"/>
      <c r="L44" s="10" t="s">
        <v>44</v>
      </c>
      <c r="M44" s="17"/>
      <c r="N44" s="11" t="s">
        <v>48</v>
      </c>
      <c r="O44" s="17"/>
      <c r="P44" s="17"/>
      <c r="Q44" s="11" t="s">
        <v>48</v>
      </c>
      <c r="R44" s="17"/>
      <c r="S44" s="18" t="str">
        <f aca="false">IF(COUNTIF(D44:R44,"A")+COUNTIF(D44:R44,"A/R")&lt;&gt;1,"Revisar A",IF(COUNTIF(D44:R44,"R")+COUNTIF(D44:R44,"A/R")=0,"Falta R","OK"))</f>
        <v>OK</v>
      </c>
    </row>
    <row r="45" customFormat="false" ht="15" hidden="false" customHeight="false" outlineLevel="0" collapsed="false">
      <c r="A45" s="13" t="s">
        <v>205</v>
      </c>
      <c r="B45" s="13" t="s">
        <v>213</v>
      </c>
      <c r="C45" s="13" t="s">
        <v>214</v>
      </c>
      <c r="D45" s="17"/>
      <c r="E45" s="17"/>
      <c r="F45" s="17"/>
      <c r="G45" s="11" t="s">
        <v>48</v>
      </c>
      <c r="H45" s="17"/>
      <c r="I45" s="9" t="s">
        <v>42</v>
      </c>
      <c r="J45" s="17"/>
      <c r="K45" s="10" t="s">
        <v>44</v>
      </c>
      <c r="L45" s="12" t="s">
        <v>50</v>
      </c>
      <c r="M45" s="17"/>
      <c r="N45" s="17"/>
      <c r="O45" s="17"/>
      <c r="P45" s="17"/>
      <c r="Q45" s="17"/>
      <c r="R45" s="17"/>
      <c r="S45" s="18" t="str">
        <f aca="false">IF(COUNTIF(D45:R45,"A")+COUNTIF(D45:R45,"A/R")&lt;&gt;1,"Revisar A",IF(COUNTIF(D45:R45,"R")+COUNTIF(D45:R45,"A/R")=0,"Falta R","OK"))</f>
        <v>OK</v>
      </c>
    </row>
    <row r="46" customFormat="false" ht="15" hidden="false" customHeight="false" outlineLevel="0" collapsed="false">
      <c r="A46" s="13" t="s">
        <v>205</v>
      </c>
      <c r="B46" s="13" t="s">
        <v>216</v>
      </c>
      <c r="C46" s="13" t="s">
        <v>217</v>
      </c>
      <c r="D46" s="12" t="s">
        <v>50</v>
      </c>
      <c r="E46" s="17"/>
      <c r="F46" s="17"/>
      <c r="G46" s="9" t="s">
        <v>42</v>
      </c>
      <c r="H46" s="17"/>
      <c r="I46" s="17"/>
      <c r="J46" s="17"/>
      <c r="K46" s="17"/>
      <c r="L46" s="10" t="s">
        <v>44</v>
      </c>
      <c r="M46" s="17"/>
      <c r="N46" s="17"/>
      <c r="O46" s="17"/>
      <c r="P46" s="11" t="s">
        <v>48</v>
      </c>
      <c r="Q46" s="11" t="s">
        <v>48</v>
      </c>
      <c r="R46" s="17"/>
      <c r="S46" s="18" t="str">
        <f aca="false">IF(COUNTIF(D46:R46,"A")+COUNTIF(D46:R46,"A/R")&lt;&gt;1,"Revisar A",IF(COUNTIF(D46:R46,"R")+COUNTIF(D46:R46,"A/R")=0,"Falta R","OK"))</f>
        <v>OK</v>
      </c>
    </row>
    <row r="47" customFormat="false" ht="15" hidden="false" customHeight="false" outlineLevel="0" collapsed="false">
      <c r="A47" s="13" t="s">
        <v>205</v>
      </c>
      <c r="B47" s="13" t="s">
        <v>219</v>
      </c>
      <c r="C47" s="13" t="s">
        <v>220</v>
      </c>
      <c r="D47" s="17"/>
      <c r="E47" s="17"/>
      <c r="F47" s="17"/>
      <c r="G47" s="9" t="s">
        <v>42</v>
      </c>
      <c r="H47" s="17"/>
      <c r="I47" s="12" t="s">
        <v>50</v>
      </c>
      <c r="J47" s="17"/>
      <c r="K47" s="17"/>
      <c r="L47" s="10" t="s">
        <v>44</v>
      </c>
      <c r="M47" s="17"/>
      <c r="N47" s="11" t="s">
        <v>48</v>
      </c>
      <c r="O47" s="17"/>
      <c r="P47" s="17"/>
      <c r="Q47" s="11" t="s">
        <v>48</v>
      </c>
      <c r="R47" s="17"/>
      <c r="S47" s="18" t="str">
        <f aca="false">IF(COUNTIF(D47:R47,"A")+COUNTIF(D47:R47,"A/R")&lt;&gt;1,"Revisar A",IF(COUNTIF(D47:R47,"R")+COUNTIF(D47:R47,"A/R")=0,"Falta R","OK"))</f>
        <v>OK</v>
      </c>
    </row>
    <row r="49" customFormat="false" ht="15" hidden="false" customHeight="false" outlineLevel="0" collapsed="false">
      <c r="A49" s="19" t="s">
        <v>240</v>
      </c>
    </row>
  </sheetData>
  <mergeCells count="3">
    <mergeCell ref="D2:H2"/>
    <mergeCell ref="I2:L2"/>
    <mergeCell ref="M2:R2"/>
  </mergeCells>
  <dataValidations count="1">
    <dataValidation allowBlank="true" errorStyle="stop" operator="between" showDropDown="false" showErrorMessage="false" showInputMessage="false" sqref="D4:R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241</v>
      </c>
      <c r="B1" s="9" t="s">
        <v>242</v>
      </c>
      <c r="C1" s="9" t="s">
        <v>243</v>
      </c>
      <c r="D1" s="9" t="s">
        <v>244</v>
      </c>
      <c r="E1" s="9" t="s">
        <v>245</v>
      </c>
      <c r="F1" s="9" t="s">
        <v>246</v>
      </c>
      <c r="G1" s="9" t="s">
        <v>30</v>
      </c>
    </row>
    <row r="2" customFormat="false" ht="23.85" hidden="false" customHeight="false" outlineLevel="0" collapsed="false">
      <c r="A2" s="13" t="s">
        <v>64</v>
      </c>
      <c r="B2" s="13" t="s">
        <v>226</v>
      </c>
      <c r="C2" s="13" t="s">
        <v>247</v>
      </c>
      <c r="D2" s="13" t="s">
        <v>248</v>
      </c>
      <c r="E2" s="13" t="s">
        <v>249</v>
      </c>
      <c r="F2" s="13" t="s">
        <v>250</v>
      </c>
      <c r="G2" s="13" t="s">
        <v>251</v>
      </c>
    </row>
    <row r="3" customFormat="false" ht="23.85" hidden="false" customHeight="false" outlineLevel="0" collapsed="false">
      <c r="A3" s="13" t="s">
        <v>65</v>
      </c>
      <c r="B3" s="13" t="s">
        <v>227</v>
      </c>
      <c r="C3" s="13" t="s">
        <v>247</v>
      </c>
      <c r="D3" s="13" t="s">
        <v>252</v>
      </c>
      <c r="E3" s="13" t="s">
        <v>253</v>
      </c>
      <c r="F3" s="13" t="s">
        <v>254</v>
      </c>
      <c r="G3" s="13" t="s">
        <v>255</v>
      </c>
    </row>
    <row r="4" customFormat="false" ht="23.85" hidden="false" customHeight="false" outlineLevel="0" collapsed="false">
      <c r="A4" s="13" t="s">
        <v>91</v>
      </c>
      <c r="B4" s="13" t="s">
        <v>86</v>
      </c>
      <c r="C4" s="13" t="s">
        <v>247</v>
      </c>
      <c r="D4" s="13" t="s">
        <v>256</v>
      </c>
      <c r="E4" s="13" t="s">
        <v>257</v>
      </c>
      <c r="F4" s="13" t="s">
        <v>258</v>
      </c>
      <c r="G4" s="13" t="s">
        <v>259</v>
      </c>
    </row>
    <row r="5" customFormat="false" ht="23.85" hidden="false" customHeight="false" outlineLevel="0" collapsed="false">
      <c r="A5" s="13" t="s">
        <v>74</v>
      </c>
      <c r="B5" s="13" t="s">
        <v>228</v>
      </c>
      <c r="C5" s="13" t="s">
        <v>247</v>
      </c>
      <c r="D5" s="13" t="s">
        <v>260</v>
      </c>
      <c r="E5" s="13" t="s">
        <v>261</v>
      </c>
      <c r="F5" s="13" t="s">
        <v>262</v>
      </c>
      <c r="G5" s="13" t="s">
        <v>263</v>
      </c>
    </row>
    <row r="6" customFormat="false" ht="23.85" hidden="false" customHeight="false" outlineLevel="0" collapsed="false">
      <c r="A6" s="13" t="s">
        <v>264</v>
      </c>
      <c r="B6" s="13" t="s">
        <v>229</v>
      </c>
      <c r="C6" s="13" t="s">
        <v>247</v>
      </c>
      <c r="D6" s="13" t="s">
        <v>265</v>
      </c>
      <c r="E6" s="13" t="s">
        <v>266</v>
      </c>
      <c r="F6" s="13" t="s">
        <v>267</v>
      </c>
      <c r="G6" s="13" t="s">
        <v>268</v>
      </c>
    </row>
    <row r="7" customFormat="false" ht="23.85" hidden="false" customHeight="false" outlineLevel="0" collapsed="false">
      <c r="A7" s="13" t="s">
        <v>102</v>
      </c>
      <c r="B7" s="13" t="s">
        <v>230</v>
      </c>
      <c r="C7" s="13" t="s">
        <v>269</v>
      </c>
      <c r="D7" s="13" t="s">
        <v>270</v>
      </c>
      <c r="E7" s="13" t="s">
        <v>271</v>
      </c>
      <c r="F7" s="13" t="s">
        <v>272</v>
      </c>
      <c r="G7" s="13" t="s">
        <v>273</v>
      </c>
    </row>
    <row r="8" customFormat="false" ht="23.85" hidden="false" customHeight="false" outlineLevel="0" collapsed="false">
      <c r="A8" s="13" t="s">
        <v>111</v>
      </c>
      <c r="B8" s="13" t="s">
        <v>231</v>
      </c>
      <c r="C8" s="13" t="s">
        <v>269</v>
      </c>
      <c r="D8" s="13" t="s">
        <v>274</v>
      </c>
      <c r="E8" s="13" t="s">
        <v>275</v>
      </c>
      <c r="F8" s="13" t="s">
        <v>276</v>
      </c>
      <c r="G8" s="13" t="s">
        <v>277</v>
      </c>
    </row>
    <row r="9" customFormat="false" ht="23.85" hidden="false" customHeight="false" outlineLevel="0" collapsed="false">
      <c r="A9" s="13" t="s">
        <v>103</v>
      </c>
      <c r="B9" s="13" t="s">
        <v>159</v>
      </c>
      <c r="C9" s="13" t="s">
        <v>269</v>
      </c>
      <c r="D9" s="13" t="s">
        <v>278</v>
      </c>
      <c r="E9" s="13" t="s">
        <v>279</v>
      </c>
      <c r="F9" s="13" t="s">
        <v>280</v>
      </c>
      <c r="G9" s="13" t="s">
        <v>281</v>
      </c>
    </row>
    <row r="10" customFormat="false" ht="23.85" hidden="false" customHeight="false" outlineLevel="0" collapsed="false">
      <c r="A10" s="13" t="s">
        <v>139</v>
      </c>
      <c r="B10" s="13" t="s">
        <v>232</v>
      </c>
      <c r="C10" s="13" t="s">
        <v>269</v>
      </c>
      <c r="D10" s="13" t="s">
        <v>282</v>
      </c>
      <c r="E10" s="13" t="s">
        <v>283</v>
      </c>
      <c r="F10" s="13" t="s">
        <v>284</v>
      </c>
      <c r="G10" s="13" t="s">
        <v>285</v>
      </c>
    </row>
    <row r="11" customFormat="false" ht="15" hidden="false" customHeight="false" outlineLevel="0" collapsed="false">
      <c r="A11" s="13" t="s">
        <v>197</v>
      </c>
      <c r="B11" s="13" t="s">
        <v>233</v>
      </c>
      <c r="C11" s="13" t="s">
        <v>286</v>
      </c>
      <c r="D11" s="13" t="s">
        <v>287</v>
      </c>
      <c r="E11" s="13" t="s">
        <v>288</v>
      </c>
      <c r="F11" s="13" t="s">
        <v>289</v>
      </c>
      <c r="G11" s="13" t="s">
        <v>290</v>
      </c>
    </row>
    <row r="12" customFormat="false" ht="15" hidden="false" customHeight="false" outlineLevel="0" collapsed="false">
      <c r="A12" s="13" t="s">
        <v>291</v>
      </c>
      <c r="B12" s="13" t="s">
        <v>234</v>
      </c>
      <c r="C12" s="13" t="s">
        <v>286</v>
      </c>
      <c r="D12" s="13" t="s">
        <v>292</v>
      </c>
      <c r="E12" s="13" t="s">
        <v>293</v>
      </c>
      <c r="F12" s="13" t="s">
        <v>294</v>
      </c>
      <c r="G12" s="13" t="s">
        <v>295</v>
      </c>
    </row>
    <row r="13" customFormat="false" ht="23.85" hidden="false" customHeight="false" outlineLevel="0" collapsed="false">
      <c r="A13" s="13" t="s">
        <v>198</v>
      </c>
      <c r="B13" s="13" t="s">
        <v>235</v>
      </c>
      <c r="C13" s="13" t="s">
        <v>286</v>
      </c>
      <c r="D13" s="13" t="s">
        <v>296</v>
      </c>
      <c r="E13" s="13" t="s">
        <v>297</v>
      </c>
      <c r="F13" s="13" t="s">
        <v>298</v>
      </c>
      <c r="G13" s="13" t="s">
        <v>299</v>
      </c>
    </row>
    <row r="14" customFormat="false" ht="15" hidden="false" customHeight="false" outlineLevel="0" collapsed="false">
      <c r="A14" s="13" t="s">
        <v>128</v>
      </c>
      <c r="B14" s="13" t="s">
        <v>236</v>
      </c>
      <c r="C14" s="13" t="s">
        <v>286</v>
      </c>
      <c r="D14" s="13" t="s">
        <v>300</v>
      </c>
      <c r="E14" s="13" t="s">
        <v>301</v>
      </c>
      <c r="F14" s="13" t="s">
        <v>302</v>
      </c>
      <c r="G14" s="13" t="s">
        <v>303</v>
      </c>
    </row>
    <row r="15" customFormat="false" ht="15" hidden="false" customHeight="false" outlineLevel="0" collapsed="false">
      <c r="A15" s="13" t="s">
        <v>237</v>
      </c>
      <c r="B15" s="13" t="s">
        <v>237</v>
      </c>
      <c r="C15" s="13" t="s">
        <v>286</v>
      </c>
      <c r="D15" s="13" t="s">
        <v>304</v>
      </c>
      <c r="E15" s="13" t="s">
        <v>305</v>
      </c>
      <c r="F15" s="13" t="s">
        <v>306</v>
      </c>
      <c r="G15" s="13" t="s">
        <v>307</v>
      </c>
    </row>
    <row r="16" customFormat="false" ht="15" hidden="false" customHeight="false" outlineLevel="0" collapsed="false">
      <c r="A16" s="13" t="s">
        <v>238</v>
      </c>
      <c r="B16" s="13" t="s">
        <v>238</v>
      </c>
      <c r="C16" s="13" t="s">
        <v>286</v>
      </c>
      <c r="D16" s="13" t="s">
        <v>308</v>
      </c>
      <c r="E16" s="13" t="s">
        <v>309</v>
      </c>
      <c r="F16" s="13" t="s">
        <v>310</v>
      </c>
      <c r="G16" s="13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312</v>
      </c>
      <c r="B1" s="9" t="s">
        <v>241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  <c r="H1" s="9" t="s">
        <v>318</v>
      </c>
    </row>
    <row r="2" customFormat="false" ht="15" hidden="false" customHeight="false" outlineLevel="0" collapsed="false">
      <c r="A2" s="13" t="s">
        <v>319</v>
      </c>
      <c r="B2" s="13" t="s">
        <v>64</v>
      </c>
      <c r="C2" s="13" t="s">
        <v>320</v>
      </c>
      <c r="D2" s="20"/>
      <c r="E2" s="13"/>
      <c r="F2" s="13" t="s">
        <v>321</v>
      </c>
      <c r="G2" s="13"/>
      <c r="H2" s="13"/>
    </row>
    <row r="3" customFormat="false" ht="15" hidden="false" customHeight="false" outlineLevel="0" collapsed="false">
      <c r="A3" s="13" t="s">
        <v>319</v>
      </c>
      <c r="B3" s="13" t="s">
        <v>65</v>
      </c>
      <c r="C3" s="13" t="s">
        <v>322</v>
      </c>
      <c r="D3" s="20"/>
      <c r="E3" s="13"/>
      <c r="F3" s="13" t="s">
        <v>321</v>
      </c>
      <c r="G3" s="13"/>
      <c r="H3" s="13"/>
    </row>
    <row r="4" customFormat="false" ht="15" hidden="false" customHeight="false" outlineLevel="0" collapsed="false">
      <c r="A4" s="13" t="s">
        <v>319</v>
      </c>
      <c r="B4" s="13" t="s">
        <v>264</v>
      </c>
      <c r="C4" s="13" t="s">
        <v>323</v>
      </c>
      <c r="D4" s="20"/>
      <c r="E4" s="13"/>
      <c r="F4" s="13" t="s">
        <v>321</v>
      </c>
      <c r="G4" s="13"/>
      <c r="H4" s="13"/>
    </row>
    <row r="5" customFormat="false" ht="15" hidden="false" customHeight="false" outlineLevel="0" collapsed="false">
      <c r="A5" s="13" t="s">
        <v>319</v>
      </c>
      <c r="B5" s="13" t="s">
        <v>264</v>
      </c>
      <c r="C5" s="13" t="s">
        <v>324</v>
      </c>
      <c r="D5" s="20"/>
      <c r="E5" s="13"/>
      <c r="F5" s="13" t="s">
        <v>321</v>
      </c>
      <c r="G5" s="13"/>
      <c r="H5" s="13"/>
    </row>
    <row r="6" customFormat="false" ht="15" hidden="false" customHeight="false" outlineLevel="0" collapsed="false">
      <c r="A6" s="13" t="s">
        <v>319</v>
      </c>
      <c r="B6" s="13" t="s">
        <v>264</v>
      </c>
      <c r="C6" s="13" t="s">
        <v>325</v>
      </c>
      <c r="D6" s="20"/>
      <c r="E6" s="13"/>
      <c r="F6" s="13" t="s">
        <v>321</v>
      </c>
      <c r="G6" s="13"/>
      <c r="H6" s="13"/>
    </row>
    <row r="7" customFormat="false" ht="15" hidden="false" customHeight="false" outlineLevel="0" collapsed="false">
      <c r="A7" s="13" t="s">
        <v>319</v>
      </c>
      <c r="B7" s="13" t="s">
        <v>264</v>
      </c>
      <c r="C7" s="13" t="s">
        <v>326</v>
      </c>
      <c r="D7" s="20"/>
      <c r="E7" s="13"/>
      <c r="F7" s="13" t="s">
        <v>321</v>
      </c>
      <c r="G7" s="13"/>
      <c r="H7" s="13"/>
    </row>
    <row r="8" customFormat="false" ht="15" hidden="false" customHeight="false" outlineLevel="0" collapsed="false">
      <c r="A8" s="13" t="s">
        <v>327</v>
      </c>
      <c r="B8" s="13" t="s">
        <v>102</v>
      </c>
      <c r="C8" s="13" t="s">
        <v>328</v>
      </c>
      <c r="D8" s="20"/>
      <c r="E8" s="13"/>
      <c r="F8" s="13" t="s">
        <v>329</v>
      </c>
      <c r="G8" s="13"/>
      <c r="H8" s="13"/>
    </row>
    <row r="9" customFormat="false" ht="15" hidden="false" customHeight="false" outlineLevel="0" collapsed="false">
      <c r="A9" s="13" t="s">
        <v>327</v>
      </c>
      <c r="B9" s="13" t="s">
        <v>111</v>
      </c>
      <c r="C9" s="13" t="s">
        <v>328</v>
      </c>
      <c r="D9" s="20"/>
      <c r="E9" s="13"/>
      <c r="F9" s="13" t="s">
        <v>329</v>
      </c>
      <c r="G9" s="13"/>
      <c r="H9" s="13"/>
    </row>
    <row r="10" customFormat="false" ht="15" hidden="false" customHeight="false" outlineLevel="0" collapsed="false">
      <c r="A10" s="13" t="s">
        <v>327</v>
      </c>
      <c r="B10" s="13" t="s">
        <v>103</v>
      </c>
      <c r="C10" s="13" t="s">
        <v>328</v>
      </c>
      <c r="D10" s="20"/>
      <c r="E10" s="13"/>
      <c r="F10" s="13" t="s">
        <v>329</v>
      </c>
      <c r="G10" s="13"/>
      <c r="H10" s="13"/>
    </row>
    <row r="11" customFormat="false" ht="15" hidden="false" customHeight="false" outlineLevel="0" collapsed="false">
      <c r="A11" s="13" t="s">
        <v>327</v>
      </c>
      <c r="B11" s="13" t="s">
        <v>237</v>
      </c>
      <c r="C11" s="13" t="s">
        <v>328</v>
      </c>
      <c r="D11" s="20"/>
      <c r="E11" s="13"/>
      <c r="F11" s="13" t="s">
        <v>330</v>
      </c>
      <c r="G11" s="13"/>
      <c r="H11" s="13"/>
    </row>
    <row r="12" customFormat="false" ht="15" hidden="false" customHeight="false" outlineLevel="0" collapsed="false">
      <c r="A12" s="13" t="s">
        <v>327</v>
      </c>
      <c r="B12" s="13" t="s">
        <v>237</v>
      </c>
      <c r="C12" s="13" t="s">
        <v>331</v>
      </c>
      <c r="D12" s="20"/>
      <c r="E12" s="13"/>
      <c r="F12" s="13" t="s">
        <v>332</v>
      </c>
      <c r="G12" s="13"/>
      <c r="H12" s="13"/>
    </row>
    <row r="13" customFormat="false" ht="15" hidden="false" customHeight="false" outlineLevel="0" collapsed="false">
      <c r="A13" s="13" t="s">
        <v>327</v>
      </c>
      <c r="B13" s="13" t="s">
        <v>139</v>
      </c>
      <c r="C13" s="13" t="s">
        <v>331</v>
      </c>
      <c r="D13" s="20"/>
      <c r="E13" s="13"/>
      <c r="F13" s="13" t="s">
        <v>332</v>
      </c>
      <c r="G13" s="13"/>
      <c r="H13" s="13"/>
    </row>
    <row r="14" customFormat="false" ht="15" hidden="false" customHeight="false" outlineLevel="0" collapsed="false">
      <c r="A14" s="13" t="s">
        <v>327</v>
      </c>
      <c r="B14" s="13" t="s">
        <v>197</v>
      </c>
      <c r="C14" s="13" t="s">
        <v>333</v>
      </c>
      <c r="D14" s="20"/>
      <c r="E14" s="13"/>
      <c r="F14" s="13" t="s">
        <v>321</v>
      </c>
      <c r="G14" s="13"/>
      <c r="H14" s="13"/>
    </row>
    <row r="15" customFormat="false" ht="15" hidden="false" customHeight="false" outlineLevel="0" collapsed="false">
      <c r="A15" s="13" t="s">
        <v>327</v>
      </c>
      <c r="B15" s="13" t="s">
        <v>291</v>
      </c>
      <c r="C15" s="13" t="s">
        <v>334</v>
      </c>
      <c r="D15" s="20"/>
      <c r="E15" s="13"/>
      <c r="F15" s="13" t="s">
        <v>321</v>
      </c>
      <c r="G15" s="13"/>
      <c r="H15" s="13"/>
    </row>
    <row r="16" customFormat="false" ht="15" hidden="false" customHeight="false" outlineLevel="0" collapsed="false">
      <c r="A16" s="13" t="s">
        <v>327</v>
      </c>
      <c r="B16" s="13" t="s">
        <v>291</v>
      </c>
      <c r="C16" s="13" t="s">
        <v>335</v>
      </c>
      <c r="D16" s="20"/>
      <c r="E16" s="13"/>
      <c r="F16" s="13" t="s">
        <v>332</v>
      </c>
      <c r="G16" s="13"/>
      <c r="H16" s="13"/>
    </row>
    <row r="17" customFormat="false" ht="15" hidden="false" customHeight="false" outlineLevel="0" collapsed="false">
      <c r="A17" s="13" t="s">
        <v>327</v>
      </c>
      <c r="B17" s="13" t="s">
        <v>91</v>
      </c>
      <c r="C17" s="13" t="s">
        <v>335</v>
      </c>
      <c r="D17" s="20"/>
      <c r="E17" s="13"/>
      <c r="F17" s="13" t="s">
        <v>336</v>
      </c>
      <c r="G17" s="13"/>
      <c r="H17" s="13"/>
    </row>
    <row r="18" customFormat="false" ht="15" hidden="false" customHeight="false" outlineLevel="0" collapsed="false">
      <c r="A18" s="13" t="s">
        <v>327</v>
      </c>
      <c r="B18" s="13" t="s">
        <v>128</v>
      </c>
      <c r="C18" s="13" t="s">
        <v>335</v>
      </c>
      <c r="D18" s="20"/>
      <c r="E18" s="13"/>
      <c r="F18" s="13" t="s">
        <v>329</v>
      </c>
      <c r="G18" s="13"/>
      <c r="H18" s="13"/>
    </row>
    <row r="19" customFormat="false" ht="15" hidden="false" customHeight="false" outlineLevel="0" collapsed="false">
      <c r="A19" s="13" t="s">
        <v>327</v>
      </c>
      <c r="B19" s="13" t="s">
        <v>198</v>
      </c>
      <c r="C19" s="13" t="s">
        <v>337</v>
      </c>
      <c r="D19" s="20"/>
      <c r="E19" s="13"/>
      <c r="F19" s="13" t="s">
        <v>321</v>
      </c>
      <c r="G19" s="13"/>
      <c r="H19" s="13"/>
    </row>
    <row r="20" customFormat="false" ht="15" hidden="false" customHeight="false" outlineLevel="0" collapsed="false">
      <c r="A20" s="13" t="s">
        <v>327</v>
      </c>
      <c r="B20" s="13" t="s">
        <v>74</v>
      </c>
      <c r="C20" s="13" t="s">
        <v>338</v>
      </c>
      <c r="D20" s="20"/>
      <c r="E20" s="13"/>
      <c r="F20" s="13" t="s">
        <v>321</v>
      </c>
      <c r="G20" s="13"/>
      <c r="H20" s="13"/>
    </row>
    <row r="21" customFormat="false" ht="15" hidden="false" customHeight="false" outlineLevel="0" collapsed="false">
      <c r="A21" s="13" t="s">
        <v>327</v>
      </c>
      <c r="B21" s="13" t="s">
        <v>237</v>
      </c>
      <c r="C21" s="13" t="s">
        <v>339</v>
      </c>
      <c r="D21" s="20"/>
      <c r="E21" s="13"/>
      <c r="F21" s="13" t="s">
        <v>321</v>
      </c>
      <c r="G21" s="13"/>
      <c r="H21" s="13"/>
    </row>
    <row r="22" customFormat="false" ht="15" hidden="false" customHeight="false" outlineLevel="0" collapsed="false">
      <c r="A22" s="13" t="s">
        <v>340</v>
      </c>
      <c r="B22" s="13" t="s">
        <v>102</v>
      </c>
      <c r="C22" s="20"/>
      <c r="D22" s="20"/>
      <c r="E22" s="13"/>
      <c r="F22" s="13"/>
      <c r="G22" s="13"/>
      <c r="H22" s="13"/>
    </row>
    <row r="23" customFormat="false" ht="15" hidden="false" customHeight="false" outlineLevel="0" collapsed="false">
      <c r="A23" s="13" t="s">
        <v>340</v>
      </c>
      <c r="B23" s="13" t="s">
        <v>111</v>
      </c>
      <c r="C23" s="20"/>
      <c r="D23" s="20"/>
      <c r="E23" s="13"/>
      <c r="F23" s="13"/>
      <c r="G23" s="13"/>
      <c r="H23" s="13"/>
    </row>
    <row r="24" customFormat="false" ht="15" hidden="false" customHeight="false" outlineLevel="0" collapsed="false">
      <c r="A24" s="13" t="s">
        <v>340</v>
      </c>
      <c r="B24" s="13" t="s">
        <v>103</v>
      </c>
      <c r="C24" s="20"/>
      <c r="D24" s="20"/>
      <c r="E24" s="13"/>
      <c r="F24" s="13"/>
      <c r="G24" s="13"/>
      <c r="H24" s="13"/>
    </row>
    <row r="25" customFormat="false" ht="15" hidden="false" customHeight="false" outlineLevel="0" collapsed="false">
      <c r="A25" s="13" t="s">
        <v>340</v>
      </c>
      <c r="B25" s="13" t="s">
        <v>139</v>
      </c>
      <c r="C25" s="20"/>
      <c r="D25" s="20"/>
      <c r="E25" s="13"/>
      <c r="F25" s="13"/>
      <c r="G25" s="13"/>
      <c r="H25" s="13"/>
    </row>
    <row r="26" customFormat="false" ht="15" hidden="false" customHeight="false" outlineLevel="0" collapsed="false">
      <c r="A26" s="13" t="s">
        <v>341</v>
      </c>
      <c r="B26" s="13" t="s">
        <v>102</v>
      </c>
      <c r="C26" s="20"/>
      <c r="D26" s="20"/>
      <c r="E26" s="13"/>
      <c r="F26" s="13"/>
      <c r="G26" s="13"/>
      <c r="H26" s="13"/>
    </row>
    <row r="27" customFormat="false" ht="15" hidden="false" customHeight="false" outlineLevel="0" collapsed="false">
      <c r="A27" s="13" t="s">
        <v>341</v>
      </c>
      <c r="B27" s="13" t="s">
        <v>111</v>
      </c>
      <c r="C27" s="20"/>
      <c r="D27" s="20"/>
      <c r="E27" s="13"/>
      <c r="F27" s="13"/>
      <c r="G27" s="13"/>
      <c r="H27" s="13"/>
    </row>
    <row r="28" customFormat="false" ht="15" hidden="false" customHeight="false" outlineLevel="0" collapsed="false">
      <c r="A28" s="13" t="s">
        <v>341</v>
      </c>
      <c r="B28" s="13" t="s">
        <v>103</v>
      </c>
      <c r="C28" s="20"/>
      <c r="D28" s="20"/>
      <c r="E28" s="13"/>
      <c r="F28" s="13"/>
      <c r="G28" s="13"/>
      <c r="H28" s="13"/>
    </row>
    <row r="29" customFormat="false" ht="15" hidden="false" customHeight="false" outlineLevel="0" collapsed="false">
      <c r="A29" s="13" t="s">
        <v>341</v>
      </c>
      <c r="B29" s="13" t="s">
        <v>139</v>
      </c>
      <c r="C29" s="20"/>
      <c r="D29" s="20"/>
      <c r="E29" s="13"/>
      <c r="F29" s="13"/>
      <c r="G29" s="13"/>
      <c r="H29" s="13"/>
    </row>
    <row r="30" customFormat="false" ht="15" hidden="false" customHeight="false" outlineLevel="0" collapsed="false">
      <c r="A30" s="13" t="s">
        <v>342</v>
      </c>
      <c r="B30" s="13" t="s">
        <v>102</v>
      </c>
      <c r="C30" s="20"/>
      <c r="D30" s="20"/>
      <c r="E30" s="13"/>
      <c r="F30" s="13"/>
      <c r="G30" s="13"/>
      <c r="H30" s="13"/>
    </row>
    <row r="31" customFormat="false" ht="15" hidden="false" customHeight="false" outlineLevel="0" collapsed="false">
      <c r="A31" s="13" t="s">
        <v>342</v>
      </c>
      <c r="B31" s="13" t="s">
        <v>111</v>
      </c>
      <c r="C31" s="20"/>
      <c r="D31" s="20"/>
      <c r="E31" s="13"/>
      <c r="F31" s="13"/>
      <c r="G31" s="13"/>
      <c r="H31" s="13"/>
    </row>
    <row r="32" customFormat="false" ht="15" hidden="false" customHeight="false" outlineLevel="0" collapsed="false">
      <c r="A32" s="13" t="s">
        <v>342</v>
      </c>
      <c r="B32" s="13" t="s">
        <v>103</v>
      </c>
      <c r="C32" s="20"/>
      <c r="D32" s="20"/>
      <c r="E32" s="13"/>
      <c r="F32" s="13"/>
      <c r="G32" s="13"/>
      <c r="H32" s="13"/>
    </row>
    <row r="33" customFormat="false" ht="15" hidden="false" customHeight="false" outlineLevel="0" collapsed="false">
      <c r="A33" s="13" t="s">
        <v>342</v>
      </c>
      <c r="B33" s="13" t="s">
        <v>139</v>
      </c>
      <c r="C33" s="20"/>
      <c r="D33" s="20"/>
      <c r="E33" s="13"/>
      <c r="F33" s="13"/>
      <c r="G33" s="13"/>
      <c r="H33" s="13"/>
    </row>
    <row r="34" customFormat="false" ht="15" hidden="false" customHeight="false" outlineLevel="0" collapsed="false">
      <c r="A34" s="13" t="s">
        <v>343</v>
      </c>
      <c r="B34" s="13" t="s">
        <v>102</v>
      </c>
      <c r="C34" s="20"/>
      <c r="D34" s="20"/>
      <c r="E34" s="13"/>
      <c r="F34" s="13"/>
      <c r="G34" s="13"/>
      <c r="H34" s="13"/>
    </row>
    <row r="35" customFormat="false" ht="15" hidden="false" customHeight="false" outlineLevel="0" collapsed="false">
      <c r="A35" s="13" t="s">
        <v>343</v>
      </c>
      <c r="B35" s="13" t="s">
        <v>111</v>
      </c>
      <c r="C35" s="20"/>
      <c r="D35" s="20"/>
      <c r="E35" s="13"/>
      <c r="F35" s="13"/>
      <c r="G35" s="13"/>
      <c r="H35" s="13"/>
    </row>
    <row r="36" customFormat="false" ht="15" hidden="false" customHeight="false" outlineLevel="0" collapsed="false">
      <c r="A36" s="13" t="s">
        <v>343</v>
      </c>
      <c r="B36" s="13" t="s">
        <v>103</v>
      </c>
      <c r="C36" s="20"/>
      <c r="D36" s="20"/>
      <c r="E36" s="13"/>
      <c r="F36" s="13"/>
      <c r="G36" s="13"/>
      <c r="H36" s="13"/>
    </row>
    <row r="37" customFormat="false" ht="15" hidden="false" customHeight="false" outlineLevel="0" collapsed="false">
      <c r="A37" s="13" t="s">
        <v>343</v>
      </c>
      <c r="B37" s="13" t="s">
        <v>139</v>
      </c>
      <c r="C37" s="20"/>
      <c r="D37" s="20"/>
      <c r="E37" s="13"/>
      <c r="F37" s="13"/>
      <c r="G37" s="13"/>
      <c r="H37" s="13"/>
    </row>
    <row r="38" customFormat="false" ht="15" hidden="false" customHeight="false" outlineLevel="0" collapsed="false">
      <c r="A38" s="13" t="s">
        <v>344</v>
      </c>
      <c r="B38" s="13" t="s">
        <v>102</v>
      </c>
      <c r="C38" s="20"/>
      <c r="D38" s="20"/>
      <c r="E38" s="13"/>
      <c r="F38" s="13"/>
      <c r="G38" s="13"/>
      <c r="H38" s="13"/>
    </row>
    <row r="39" customFormat="false" ht="15" hidden="false" customHeight="false" outlineLevel="0" collapsed="false">
      <c r="A39" s="13" t="s">
        <v>344</v>
      </c>
      <c r="B39" s="13" t="s">
        <v>111</v>
      </c>
      <c r="C39" s="20"/>
      <c r="D39" s="20"/>
      <c r="E39" s="13"/>
      <c r="F39" s="13"/>
      <c r="G39" s="13"/>
      <c r="H39" s="13"/>
    </row>
    <row r="40" customFormat="false" ht="15" hidden="false" customHeight="false" outlineLevel="0" collapsed="false">
      <c r="A40" s="13" t="s">
        <v>344</v>
      </c>
      <c r="B40" s="13" t="s">
        <v>103</v>
      </c>
      <c r="C40" s="20"/>
      <c r="D40" s="20"/>
      <c r="E40" s="13"/>
      <c r="F40" s="13"/>
      <c r="G40" s="13"/>
      <c r="H40" s="13"/>
    </row>
    <row r="41" customFormat="false" ht="15" hidden="false" customHeight="false" outlineLevel="0" collapsed="false">
      <c r="A41" s="13" t="s">
        <v>344</v>
      </c>
      <c r="B41" s="13" t="s">
        <v>139</v>
      </c>
      <c r="C41" s="20"/>
      <c r="D41" s="20"/>
      <c r="E41" s="13"/>
      <c r="F41" s="13"/>
      <c r="G41" s="13"/>
      <c r="H41" s="13"/>
    </row>
    <row r="43" customFormat="false" ht="15" hidden="false" customHeight="false" outlineLevel="0" collapsed="false">
      <c r="A43" s="19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10" min="9" style="0" width="38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5" hidden="false" customHeight="false" outlineLevel="0" collapsed="false">
      <c r="A1" s="9" t="s">
        <v>312</v>
      </c>
      <c r="B1" s="9" t="s">
        <v>346</v>
      </c>
      <c r="C1" s="9" t="s">
        <v>347</v>
      </c>
      <c r="D1" s="9" t="s">
        <v>348</v>
      </c>
      <c r="E1" s="9" t="s">
        <v>349</v>
      </c>
      <c r="F1" s="9" t="s">
        <v>350</v>
      </c>
      <c r="G1" s="9" t="s">
        <v>351</v>
      </c>
      <c r="H1" s="9" t="s">
        <v>352</v>
      </c>
      <c r="I1" s="9" t="s">
        <v>353</v>
      </c>
      <c r="J1" s="9" t="s">
        <v>354</v>
      </c>
      <c r="K1" s="9" t="s">
        <v>355</v>
      </c>
      <c r="L1" s="9" t="s">
        <v>318</v>
      </c>
    </row>
    <row r="2" customFormat="false" ht="15" hidden="false" customHeight="false" outlineLevel="0" collapsed="false">
      <c r="A2" s="21" t="s">
        <v>319</v>
      </c>
      <c r="B2" s="21" t="s">
        <v>356</v>
      </c>
      <c r="C2" s="21" t="n">
        <v>1</v>
      </c>
      <c r="D2" s="21" t="s">
        <v>357</v>
      </c>
      <c r="E2" s="21" t="s">
        <v>320</v>
      </c>
      <c r="F2" s="21" t="s">
        <v>358</v>
      </c>
      <c r="G2" s="21" t="s">
        <v>64</v>
      </c>
      <c r="H2" s="21"/>
      <c r="I2" s="21"/>
      <c r="J2" s="21"/>
      <c r="K2" s="21"/>
      <c r="L2" s="21"/>
    </row>
    <row r="3" customFormat="false" ht="15" hidden="false" customHeight="false" outlineLevel="0" collapsed="false">
      <c r="A3" s="21" t="s">
        <v>319</v>
      </c>
      <c r="B3" s="21" t="s">
        <v>356</v>
      </c>
      <c r="C3" s="21" t="n">
        <v>2</v>
      </c>
      <c r="D3" s="21" t="s">
        <v>359</v>
      </c>
      <c r="E3" s="21" t="s">
        <v>323</v>
      </c>
      <c r="F3" s="21" t="s">
        <v>358</v>
      </c>
      <c r="G3" s="21"/>
      <c r="H3" s="21"/>
      <c r="I3" s="21" t="s">
        <v>360</v>
      </c>
      <c r="J3" s="21"/>
      <c r="K3" s="21"/>
      <c r="L3" s="21"/>
    </row>
    <row r="4" customFormat="false" ht="15" hidden="false" customHeight="false" outlineLevel="0" collapsed="false">
      <c r="A4" s="21" t="s">
        <v>319</v>
      </c>
      <c r="B4" s="21" t="s">
        <v>356</v>
      </c>
      <c r="C4" s="21" t="n">
        <v>2</v>
      </c>
      <c r="D4" s="21" t="s">
        <v>361</v>
      </c>
      <c r="E4" s="21" t="s">
        <v>362</v>
      </c>
      <c r="F4" s="21" t="s">
        <v>358</v>
      </c>
      <c r="G4" s="21" t="s">
        <v>65</v>
      </c>
      <c r="H4" s="21"/>
      <c r="I4" s="21" t="s">
        <v>360</v>
      </c>
      <c r="J4" s="21"/>
      <c r="K4" s="21"/>
      <c r="L4" s="21"/>
    </row>
    <row r="5" customFormat="false" ht="23.85" hidden="false" customHeight="false" outlineLevel="0" collapsed="false">
      <c r="A5" s="21" t="s">
        <v>319</v>
      </c>
      <c r="B5" s="21" t="s">
        <v>356</v>
      </c>
      <c r="C5" s="21" t="n">
        <v>3</v>
      </c>
      <c r="D5" s="21" t="s">
        <v>363</v>
      </c>
      <c r="E5" s="21" t="s">
        <v>324</v>
      </c>
      <c r="F5" s="21" t="s">
        <v>358</v>
      </c>
      <c r="G5" s="21" t="s">
        <v>264</v>
      </c>
      <c r="H5" s="21"/>
      <c r="I5" s="21" t="s">
        <v>364</v>
      </c>
      <c r="J5" s="21"/>
      <c r="K5" s="21"/>
      <c r="L5" s="21"/>
    </row>
    <row r="6" customFormat="false" ht="23.85" hidden="false" customHeight="false" outlineLevel="0" collapsed="false">
      <c r="A6" s="21" t="s">
        <v>319</v>
      </c>
      <c r="B6" s="21" t="s">
        <v>356</v>
      </c>
      <c r="C6" s="21" t="n">
        <v>3</v>
      </c>
      <c r="D6" s="21" t="s">
        <v>363</v>
      </c>
      <c r="E6" s="21" t="s">
        <v>365</v>
      </c>
      <c r="F6" s="21" t="s">
        <v>358</v>
      </c>
      <c r="G6" s="21" t="s">
        <v>264</v>
      </c>
      <c r="H6" s="21"/>
      <c r="I6" s="21" t="s">
        <v>364</v>
      </c>
      <c r="J6" s="21"/>
      <c r="K6" s="21"/>
      <c r="L6" s="21"/>
    </row>
    <row r="7" customFormat="false" ht="15" hidden="false" customHeight="false" outlineLevel="0" collapsed="false">
      <c r="A7" s="13" t="s">
        <v>319</v>
      </c>
      <c r="B7" s="13" t="s">
        <v>356</v>
      </c>
      <c r="C7" s="13" t="n">
        <v>3</v>
      </c>
      <c r="D7" s="13" t="s">
        <v>366</v>
      </c>
      <c r="E7" s="22" t="s">
        <v>367</v>
      </c>
      <c r="F7" s="13"/>
      <c r="G7" s="13"/>
      <c r="H7" s="13"/>
      <c r="I7" s="13" t="s">
        <v>364</v>
      </c>
      <c r="J7" s="13"/>
      <c r="K7" s="13"/>
      <c r="L7" s="13"/>
    </row>
    <row r="8" customFormat="false" ht="15" hidden="false" customHeight="false" outlineLevel="0" collapsed="false">
      <c r="A8" s="13" t="s">
        <v>319</v>
      </c>
      <c r="B8" s="13" t="s">
        <v>356</v>
      </c>
      <c r="C8" s="13" t="n">
        <v>3</v>
      </c>
      <c r="D8" s="13" t="s">
        <v>366</v>
      </c>
      <c r="E8" s="22" t="s">
        <v>367</v>
      </c>
      <c r="F8" s="13"/>
      <c r="G8" s="13"/>
      <c r="H8" s="13"/>
      <c r="I8" s="13" t="s">
        <v>364</v>
      </c>
      <c r="J8" s="13"/>
      <c r="K8" s="13"/>
      <c r="L8" s="13"/>
    </row>
    <row r="9" customFormat="false" ht="15" hidden="false" customHeight="false" outlineLevel="0" collapsed="false">
      <c r="A9" s="13" t="s">
        <v>319</v>
      </c>
      <c r="B9" s="13" t="s">
        <v>368</v>
      </c>
      <c r="C9" s="13" t="n">
        <v>1</v>
      </c>
      <c r="D9" s="13" t="s">
        <v>369</v>
      </c>
      <c r="E9" s="22" t="s">
        <v>367</v>
      </c>
      <c r="F9" s="13" t="s">
        <v>370</v>
      </c>
      <c r="G9" s="13"/>
      <c r="H9" s="13"/>
      <c r="I9" s="13"/>
      <c r="J9" s="13"/>
      <c r="K9" s="13"/>
      <c r="L9" s="13"/>
    </row>
    <row r="10" customFormat="false" ht="15" hidden="false" customHeight="false" outlineLevel="0" collapsed="false">
      <c r="A10" s="21" t="s">
        <v>319</v>
      </c>
      <c r="B10" s="21" t="s">
        <v>368</v>
      </c>
      <c r="C10" s="21" t="n">
        <v>2</v>
      </c>
      <c r="D10" s="21" t="s">
        <v>371</v>
      </c>
      <c r="E10" s="23" t="s">
        <v>367</v>
      </c>
      <c r="F10" s="21" t="s">
        <v>358</v>
      </c>
      <c r="G10" s="21" t="s">
        <v>64</v>
      </c>
      <c r="H10" s="21"/>
      <c r="I10" s="21" t="s">
        <v>369</v>
      </c>
      <c r="J10" s="21"/>
      <c r="K10" s="21"/>
      <c r="L10" s="21"/>
    </row>
    <row r="11" customFormat="false" ht="15" hidden="false" customHeight="false" outlineLevel="0" collapsed="false">
      <c r="A11" s="21" t="s">
        <v>319</v>
      </c>
      <c r="B11" s="21" t="s">
        <v>368</v>
      </c>
      <c r="C11" s="21" t="n">
        <v>3</v>
      </c>
      <c r="D11" s="21" t="s">
        <v>372</v>
      </c>
      <c r="E11" s="23" t="s">
        <v>367</v>
      </c>
      <c r="F11" s="21" t="s">
        <v>358</v>
      </c>
      <c r="G11" s="21" t="s">
        <v>65</v>
      </c>
      <c r="H11" s="21"/>
      <c r="I11" s="21" t="s">
        <v>64</v>
      </c>
      <c r="J11" s="21"/>
      <c r="K11" s="21"/>
      <c r="L11" s="21"/>
    </row>
    <row r="12" customFormat="false" ht="15" hidden="false" customHeight="false" outlineLevel="0" collapsed="false">
      <c r="A12" s="21" t="s">
        <v>319</v>
      </c>
      <c r="B12" s="21" t="s">
        <v>368</v>
      </c>
      <c r="C12" s="21" t="n">
        <v>3</v>
      </c>
      <c r="D12" s="21" t="s">
        <v>373</v>
      </c>
      <c r="E12" s="23" t="s">
        <v>367</v>
      </c>
      <c r="F12" s="21" t="s">
        <v>358</v>
      </c>
      <c r="G12" s="21" t="s">
        <v>91</v>
      </c>
      <c r="H12" s="21"/>
      <c r="I12" s="21" t="s">
        <v>64</v>
      </c>
      <c r="J12" s="21"/>
      <c r="K12" s="21"/>
      <c r="L12" s="21"/>
    </row>
    <row r="13" customFormat="false" ht="15" hidden="false" customHeight="false" outlineLevel="0" collapsed="false">
      <c r="A13" s="21" t="s">
        <v>319</v>
      </c>
      <c r="B13" s="21" t="s">
        <v>368</v>
      </c>
      <c r="C13" s="21" t="n">
        <v>3</v>
      </c>
      <c r="D13" s="21" t="s">
        <v>374</v>
      </c>
      <c r="E13" s="23" t="s">
        <v>367</v>
      </c>
      <c r="F13" s="21" t="s">
        <v>358</v>
      </c>
      <c r="G13" s="21" t="s">
        <v>74</v>
      </c>
      <c r="H13" s="21"/>
      <c r="I13" s="21" t="s">
        <v>64</v>
      </c>
      <c r="J13" s="21"/>
      <c r="K13" s="21"/>
      <c r="L13" s="21"/>
    </row>
    <row r="14" customFormat="false" ht="23.85" hidden="false" customHeight="false" outlineLevel="0" collapsed="false">
      <c r="A14" s="21" t="s">
        <v>319</v>
      </c>
      <c r="B14" s="21" t="s">
        <v>368</v>
      </c>
      <c r="C14" s="21" t="n">
        <v>3</v>
      </c>
      <c r="D14" s="21" t="s">
        <v>375</v>
      </c>
      <c r="E14" s="23" t="s">
        <v>367</v>
      </c>
      <c r="F14" s="21" t="s">
        <v>358</v>
      </c>
      <c r="G14" s="21" t="s">
        <v>264</v>
      </c>
      <c r="H14" s="21"/>
      <c r="I14" s="21" t="s">
        <v>64</v>
      </c>
      <c r="J14" s="21"/>
      <c r="K14" s="21"/>
      <c r="L14" s="21"/>
    </row>
    <row r="15" customFormat="false" ht="23.85" hidden="false" customHeight="false" outlineLevel="0" collapsed="false">
      <c r="A15" s="21" t="s">
        <v>319</v>
      </c>
      <c r="B15" s="21" t="s">
        <v>368</v>
      </c>
      <c r="C15" s="21" t="n">
        <v>4</v>
      </c>
      <c r="D15" s="21" t="s">
        <v>376</v>
      </c>
      <c r="E15" s="23" t="s">
        <v>367</v>
      </c>
      <c r="F15" s="21" t="s">
        <v>358</v>
      </c>
      <c r="G15" s="21" t="s">
        <v>264</v>
      </c>
      <c r="H15" s="21"/>
      <c r="I15" s="21" t="s">
        <v>377</v>
      </c>
      <c r="J15" s="21"/>
      <c r="K15" s="21"/>
      <c r="L15" s="21"/>
    </row>
    <row r="16" customFormat="false" ht="15" hidden="false" customHeight="false" outlineLevel="0" collapsed="false">
      <c r="A16" s="21" t="s">
        <v>319</v>
      </c>
      <c r="B16" s="21" t="s">
        <v>368</v>
      </c>
      <c r="C16" s="21" t="n">
        <v>3</v>
      </c>
      <c r="D16" s="21" t="s">
        <v>378</v>
      </c>
      <c r="E16" s="23" t="s">
        <v>367</v>
      </c>
      <c r="F16" s="21" t="s">
        <v>358</v>
      </c>
      <c r="G16" s="21" t="s">
        <v>102</v>
      </c>
      <c r="H16" s="21"/>
      <c r="I16" s="21" t="s">
        <v>64</v>
      </c>
      <c r="J16" s="21"/>
      <c r="K16" s="21"/>
      <c r="L16" s="21" t="s">
        <v>379</v>
      </c>
    </row>
    <row r="17" customFormat="false" ht="15" hidden="false" customHeight="false" outlineLevel="0" collapsed="false">
      <c r="A17" s="13" t="s">
        <v>327</v>
      </c>
      <c r="B17" s="13" t="s">
        <v>356</v>
      </c>
      <c r="C17" s="13" t="n">
        <v>1</v>
      </c>
      <c r="D17" s="13" t="s">
        <v>380</v>
      </c>
      <c r="E17" s="13" t="s">
        <v>333</v>
      </c>
      <c r="F17" s="13" t="s">
        <v>370</v>
      </c>
      <c r="G17" s="13" t="s">
        <v>197</v>
      </c>
      <c r="H17" s="13"/>
      <c r="I17" s="13"/>
      <c r="J17" s="13"/>
      <c r="K17" s="13"/>
      <c r="L17" s="13"/>
    </row>
    <row r="18" customFormat="false" ht="15" hidden="false" customHeight="false" outlineLevel="0" collapsed="false">
      <c r="A18" s="21" t="s">
        <v>327</v>
      </c>
      <c r="B18" s="21" t="s">
        <v>356</v>
      </c>
      <c r="C18" s="21" t="n">
        <v>2</v>
      </c>
      <c r="D18" s="21" t="s">
        <v>381</v>
      </c>
      <c r="E18" s="21" t="s">
        <v>328</v>
      </c>
      <c r="F18" s="21" t="s">
        <v>358</v>
      </c>
      <c r="G18" s="21" t="s">
        <v>102</v>
      </c>
      <c r="H18" s="21"/>
      <c r="I18" s="21" t="s">
        <v>382</v>
      </c>
      <c r="J18" s="21"/>
      <c r="K18" s="21"/>
      <c r="L18" s="21"/>
    </row>
    <row r="19" customFormat="false" ht="15" hidden="false" customHeight="false" outlineLevel="0" collapsed="false">
      <c r="A19" s="13" t="s">
        <v>327</v>
      </c>
      <c r="B19" s="13" t="s">
        <v>356</v>
      </c>
      <c r="C19" s="13" t="n">
        <v>2</v>
      </c>
      <c r="D19" s="13" t="s">
        <v>383</v>
      </c>
      <c r="E19" s="13" t="s">
        <v>334</v>
      </c>
      <c r="F19" s="13" t="s">
        <v>234</v>
      </c>
      <c r="G19" s="13" t="s">
        <v>291</v>
      </c>
      <c r="H19" s="13"/>
      <c r="I19" s="13" t="s">
        <v>382</v>
      </c>
      <c r="J19" s="13"/>
      <c r="K19" s="13"/>
      <c r="L19" s="13"/>
    </row>
    <row r="20" customFormat="false" ht="15" hidden="false" customHeight="false" outlineLevel="0" collapsed="false">
      <c r="A20" s="13" t="s">
        <v>327</v>
      </c>
      <c r="B20" s="13" t="s">
        <v>356</v>
      </c>
      <c r="C20" s="13" t="n">
        <v>3</v>
      </c>
      <c r="D20" s="13" t="s">
        <v>384</v>
      </c>
      <c r="E20" s="13" t="s">
        <v>335</v>
      </c>
      <c r="F20" s="13" t="s">
        <v>234</v>
      </c>
      <c r="G20" s="13" t="s">
        <v>291</v>
      </c>
      <c r="H20" s="13"/>
      <c r="I20" s="13" t="s">
        <v>385</v>
      </c>
      <c r="J20" s="13"/>
      <c r="K20" s="13"/>
      <c r="L20" s="13"/>
    </row>
    <row r="21" customFormat="false" ht="15" hidden="false" customHeight="false" outlineLevel="0" collapsed="false">
      <c r="A21" s="13" t="s">
        <v>327</v>
      </c>
      <c r="B21" s="13" t="s">
        <v>356</v>
      </c>
      <c r="C21" s="13" t="n">
        <v>2</v>
      </c>
      <c r="D21" s="13" t="s">
        <v>386</v>
      </c>
      <c r="E21" s="13" t="s">
        <v>339</v>
      </c>
      <c r="F21" s="13" t="s">
        <v>237</v>
      </c>
      <c r="G21" s="13" t="s">
        <v>237</v>
      </c>
      <c r="H21" s="13"/>
      <c r="I21" s="13" t="s">
        <v>382</v>
      </c>
      <c r="J21" s="13"/>
      <c r="K21" s="13"/>
      <c r="L21" s="13"/>
    </row>
    <row r="22" customFormat="false" ht="15" hidden="false" customHeight="false" outlineLevel="0" collapsed="false">
      <c r="A22" s="13" t="s">
        <v>327</v>
      </c>
      <c r="B22" s="13" t="s">
        <v>356</v>
      </c>
      <c r="C22" s="13" t="n">
        <v>3</v>
      </c>
      <c r="D22" s="13" t="s">
        <v>387</v>
      </c>
      <c r="E22" s="13" t="s">
        <v>331</v>
      </c>
      <c r="F22" s="13" t="s">
        <v>237</v>
      </c>
      <c r="G22" s="13" t="s">
        <v>237</v>
      </c>
      <c r="H22" s="13"/>
      <c r="I22" s="13" t="s">
        <v>388</v>
      </c>
      <c r="J22" s="13"/>
      <c r="K22" s="13"/>
      <c r="L22" s="13"/>
    </row>
    <row r="23" customFormat="false" ht="15" hidden="false" customHeight="false" outlineLevel="0" collapsed="false">
      <c r="A23" s="13" t="s">
        <v>327</v>
      </c>
      <c r="B23" s="13" t="s">
        <v>356</v>
      </c>
      <c r="C23" s="13" t="n">
        <v>2</v>
      </c>
      <c r="D23" s="13" t="s">
        <v>389</v>
      </c>
      <c r="E23" s="13" t="s">
        <v>390</v>
      </c>
      <c r="F23" s="13" t="s">
        <v>235</v>
      </c>
      <c r="G23" s="13" t="s">
        <v>198</v>
      </c>
      <c r="H23" s="13"/>
      <c r="I23" s="13" t="s">
        <v>382</v>
      </c>
      <c r="J23" s="13"/>
      <c r="K23" s="13"/>
      <c r="L23" s="13"/>
    </row>
    <row r="24" customFormat="false" ht="15" hidden="false" customHeight="false" outlineLevel="0" collapsed="false">
      <c r="A24" s="13" t="s">
        <v>327</v>
      </c>
      <c r="B24" s="13" t="s">
        <v>356</v>
      </c>
      <c r="C24" s="13" t="n">
        <v>3</v>
      </c>
      <c r="D24" s="13" t="s">
        <v>391</v>
      </c>
      <c r="E24" s="13" t="s">
        <v>337</v>
      </c>
      <c r="F24" s="13" t="s">
        <v>235</v>
      </c>
      <c r="G24" s="13" t="s">
        <v>198</v>
      </c>
      <c r="H24" s="13"/>
      <c r="I24" s="13" t="s">
        <v>392</v>
      </c>
      <c r="J24" s="13"/>
      <c r="K24" s="13"/>
      <c r="L24" s="13"/>
    </row>
    <row r="25" customFormat="false" ht="15" hidden="false" customHeight="false" outlineLevel="0" collapsed="false">
      <c r="A25" s="13" t="s">
        <v>327</v>
      </c>
      <c r="B25" s="13" t="s">
        <v>368</v>
      </c>
      <c r="C25" s="13" t="n">
        <v>1</v>
      </c>
      <c r="D25" s="13" t="s">
        <v>64</v>
      </c>
      <c r="E25" s="22" t="s">
        <v>367</v>
      </c>
      <c r="F25" s="13" t="s">
        <v>370</v>
      </c>
      <c r="G25" s="13" t="s">
        <v>64</v>
      </c>
      <c r="H25" s="13" t="s">
        <v>319</v>
      </c>
      <c r="I25" s="13"/>
      <c r="J25" s="13"/>
      <c r="K25" s="13"/>
      <c r="L25" s="13" t="s">
        <v>393</v>
      </c>
    </row>
    <row r="26" customFormat="false" ht="23.85" hidden="false" customHeight="false" outlineLevel="0" collapsed="false">
      <c r="A26" s="21" t="s">
        <v>327</v>
      </c>
      <c r="B26" s="21" t="s">
        <v>368</v>
      </c>
      <c r="C26" s="21" t="n">
        <v>2</v>
      </c>
      <c r="D26" s="21" t="s">
        <v>394</v>
      </c>
      <c r="E26" s="23" t="s">
        <v>367</v>
      </c>
      <c r="F26" s="21" t="s">
        <v>358</v>
      </c>
      <c r="G26" s="21" t="s">
        <v>102</v>
      </c>
      <c r="H26" s="21"/>
      <c r="I26" s="21" t="s">
        <v>64</v>
      </c>
      <c r="J26" s="21" t="s">
        <v>197</v>
      </c>
      <c r="K26" s="21"/>
      <c r="L26" s="21" t="s">
        <v>395</v>
      </c>
    </row>
    <row r="27" customFormat="false" ht="15" hidden="false" customHeight="false" outlineLevel="0" collapsed="false">
      <c r="A27" s="21" t="s">
        <v>327</v>
      </c>
      <c r="B27" s="21" t="s">
        <v>368</v>
      </c>
      <c r="C27" s="21" t="n">
        <v>3</v>
      </c>
      <c r="D27" s="21" t="s">
        <v>396</v>
      </c>
      <c r="E27" s="23" t="s">
        <v>367</v>
      </c>
      <c r="F27" s="21" t="s">
        <v>358</v>
      </c>
      <c r="G27" s="21" t="s">
        <v>111</v>
      </c>
      <c r="H27" s="21"/>
      <c r="I27" s="21" t="s">
        <v>102</v>
      </c>
      <c r="J27" s="21"/>
      <c r="K27" s="21"/>
      <c r="L27" s="21"/>
    </row>
    <row r="28" customFormat="false" ht="15" hidden="false" customHeight="false" outlineLevel="0" collapsed="false">
      <c r="A28" s="21" t="s">
        <v>327</v>
      </c>
      <c r="B28" s="21" t="s">
        <v>368</v>
      </c>
      <c r="C28" s="21" t="n">
        <v>3</v>
      </c>
      <c r="D28" s="21" t="s">
        <v>397</v>
      </c>
      <c r="E28" s="23" t="s">
        <v>367</v>
      </c>
      <c r="F28" s="21" t="s">
        <v>358</v>
      </c>
      <c r="G28" s="21" t="s">
        <v>103</v>
      </c>
      <c r="H28" s="21"/>
      <c r="I28" s="21" t="s">
        <v>102</v>
      </c>
      <c r="J28" s="21"/>
      <c r="K28" s="21"/>
      <c r="L28" s="21"/>
    </row>
    <row r="29" customFormat="false" ht="15" hidden="false" customHeight="false" outlineLevel="0" collapsed="false">
      <c r="A29" s="21" t="s">
        <v>327</v>
      </c>
      <c r="B29" s="21" t="s">
        <v>368</v>
      </c>
      <c r="C29" s="21" t="n">
        <v>3</v>
      </c>
      <c r="D29" s="21" t="s">
        <v>398</v>
      </c>
      <c r="E29" s="23" t="s">
        <v>367</v>
      </c>
      <c r="F29" s="21" t="s">
        <v>358</v>
      </c>
      <c r="G29" s="21" t="s">
        <v>139</v>
      </c>
      <c r="H29" s="21"/>
      <c r="I29" s="21" t="s">
        <v>102</v>
      </c>
      <c r="J29" s="21"/>
      <c r="K29" s="21"/>
      <c r="L29" s="21"/>
    </row>
    <row r="30" customFormat="false" ht="15" hidden="false" customHeight="false" outlineLevel="0" collapsed="false">
      <c r="A30" s="13" t="s">
        <v>327</v>
      </c>
      <c r="B30" s="13" t="s">
        <v>368</v>
      </c>
      <c r="C30" s="13" t="n">
        <v>1</v>
      </c>
      <c r="D30" s="13" t="s">
        <v>197</v>
      </c>
      <c r="E30" s="22" t="s">
        <v>367</v>
      </c>
      <c r="F30" s="13" t="s">
        <v>370</v>
      </c>
      <c r="G30" s="13" t="s">
        <v>197</v>
      </c>
      <c r="H30" s="13"/>
      <c r="I30" s="13"/>
      <c r="J30" s="13"/>
      <c r="K30" s="13"/>
      <c r="L30" s="13"/>
    </row>
    <row r="31" customFormat="false" ht="15" hidden="false" customHeight="false" outlineLevel="0" collapsed="false">
      <c r="A31" s="13" t="s">
        <v>340</v>
      </c>
      <c r="B31" s="13" t="s">
        <v>368</v>
      </c>
      <c r="C31" s="13" t="n">
        <v>1</v>
      </c>
      <c r="D31" s="13" t="s">
        <v>64</v>
      </c>
      <c r="E31" s="22" t="s">
        <v>367</v>
      </c>
      <c r="F31" s="13" t="s">
        <v>370</v>
      </c>
      <c r="G31" s="13" t="s">
        <v>64</v>
      </c>
      <c r="H31" s="13" t="s">
        <v>319</v>
      </c>
      <c r="I31" s="13"/>
      <c r="J31" s="13"/>
      <c r="K31" s="13"/>
      <c r="L31" s="13" t="s">
        <v>393</v>
      </c>
    </row>
    <row r="32" customFormat="false" ht="23.85" hidden="false" customHeight="false" outlineLevel="0" collapsed="false">
      <c r="A32" s="21" t="s">
        <v>340</v>
      </c>
      <c r="B32" s="21" t="s">
        <v>368</v>
      </c>
      <c r="C32" s="21" t="n">
        <v>2</v>
      </c>
      <c r="D32" s="21" t="s">
        <v>394</v>
      </c>
      <c r="E32" s="23" t="s">
        <v>367</v>
      </c>
      <c r="F32" s="21" t="s">
        <v>358</v>
      </c>
      <c r="G32" s="21" t="s">
        <v>102</v>
      </c>
      <c r="H32" s="21"/>
      <c r="I32" s="21" t="s">
        <v>64</v>
      </c>
      <c r="J32" s="21" t="s">
        <v>197</v>
      </c>
      <c r="K32" s="21"/>
      <c r="L32" s="21" t="s">
        <v>395</v>
      </c>
    </row>
    <row r="33" customFormat="false" ht="15" hidden="false" customHeight="false" outlineLevel="0" collapsed="false">
      <c r="A33" s="21" t="s">
        <v>340</v>
      </c>
      <c r="B33" s="21" t="s">
        <v>368</v>
      </c>
      <c r="C33" s="21" t="n">
        <v>3</v>
      </c>
      <c r="D33" s="21" t="s">
        <v>396</v>
      </c>
      <c r="E33" s="23" t="s">
        <v>367</v>
      </c>
      <c r="F33" s="21" t="s">
        <v>358</v>
      </c>
      <c r="G33" s="21" t="s">
        <v>111</v>
      </c>
      <c r="H33" s="21"/>
      <c r="I33" s="21" t="s">
        <v>102</v>
      </c>
      <c r="J33" s="21"/>
      <c r="K33" s="21"/>
      <c r="L33" s="21"/>
    </row>
    <row r="34" customFormat="false" ht="15" hidden="false" customHeight="false" outlineLevel="0" collapsed="false">
      <c r="A34" s="21" t="s">
        <v>340</v>
      </c>
      <c r="B34" s="21" t="s">
        <v>368</v>
      </c>
      <c r="C34" s="21" t="n">
        <v>3</v>
      </c>
      <c r="D34" s="21" t="s">
        <v>397</v>
      </c>
      <c r="E34" s="23" t="s">
        <v>367</v>
      </c>
      <c r="F34" s="21" t="s">
        <v>358</v>
      </c>
      <c r="G34" s="21" t="s">
        <v>103</v>
      </c>
      <c r="H34" s="21"/>
      <c r="I34" s="21" t="s">
        <v>102</v>
      </c>
      <c r="J34" s="21"/>
      <c r="K34" s="21"/>
      <c r="L34" s="21"/>
    </row>
    <row r="35" customFormat="false" ht="15" hidden="false" customHeight="false" outlineLevel="0" collapsed="false">
      <c r="A35" s="21" t="s">
        <v>340</v>
      </c>
      <c r="B35" s="21" t="s">
        <v>368</v>
      </c>
      <c r="C35" s="21" t="n">
        <v>3</v>
      </c>
      <c r="D35" s="21" t="s">
        <v>398</v>
      </c>
      <c r="E35" s="23" t="s">
        <v>367</v>
      </c>
      <c r="F35" s="21" t="s">
        <v>358</v>
      </c>
      <c r="G35" s="21" t="s">
        <v>139</v>
      </c>
      <c r="H35" s="21"/>
      <c r="I35" s="21" t="s">
        <v>102</v>
      </c>
      <c r="J35" s="21"/>
      <c r="K35" s="21"/>
      <c r="L35" s="21"/>
    </row>
    <row r="36" customFormat="false" ht="15" hidden="false" customHeight="false" outlineLevel="0" collapsed="false">
      <c r="A36" s="13" t="s">
        <v>340</v>
      </c>
      <c r="B36" s="13" t="s">
        <v>368</v>
      </c>
      <c r="C36" s="13" t="n">
        <v>1</v>
      </c>
      <c r="D36" s="13" t="s">
        <v>197</v>
      </c>
      <c r="E36" s="22" t="s">
        <v>367</v>
      </c>
      <c r="F36" s="13" t="s">
        <v>370</v>
      </c>
      <c r="G36" s="13" t="s">
        <v>197</v>
      </c>
      <c r="H36" s="13"/>
      <c r="I36" s="13"/>
      <c r="J36" s="13"/>
      <c r="K36" s="13"/>
      <c r="L36" s="13"/>
    </row>
    <row r="37" customFormat="false" ht="15" hidden="false" customHeight="false" outlineLevel="0" collapsed="false">
      <c r="A37" s="13" t="s">
        <v>341</v>
      </c>
      <c r="B37" s="13" t="s">
        <v>368</v>
      </c>
      <c r="C37" s="13" t="n">
        <v>1</v>
      </c>
      <c r="D37" s="13" t="s">
        <v>64</v>
      </c>
      <c r="E37" s="22" t="s">
        <v>367</v>
      </c>
      <c r="F37" s="13" t="s">
        <v>370</v>
      </c>
      <c r="G37" s="13" t="s">
        <v>64</v>
      </c>
      <c r="H37" s="13" t="s">
        <v>319</v>
      </c>
      <c r="I37" s="13"/>
      <c r="J37" s="13"/>
      <c r="K37" s="13"/>
      <c r="L37" s="13" t="s">
        <v>393</v>
      </c>
    </row>
    <row r="38" customFormat="false" ht="23.85" hidden="false" customHeight="false" outlineLevel="0" collapsed="false">
      <c r="A38" s="21" t="s">
        <v>341</v>
      </c>
      <c r="B38" s="21" t="s">
        <v>368</v>
      </c>
      <c r="C38" s="21" t="n">
        <v>2</v>
      </c>
      <c r="D38" s="21" t="s">
        <v>394</v>
      </c>
      <c r="E38" s="23" t="s">
        <v>367</v>
      </c>
      <c r="F38" s="21" t="s">
        <v>358</v>
      </c>
      <c r="G38" s="21" t="s">
        <v>102</v>
      </c>
      <c r="H38" s="21"/>
      <c r="I38" s="21" t="s">
        <v>64</v>
      </c>
      <c r="J38" s="21" t="s">
        <v>197</v>
      </c>
      <c r="K38" s="21"/>
      <c r="L38" s="21" t="s">
        <v>395</v>
      </c>
    </row>
    <row r="39" customFormat="false" ht="15" hidden="false" customHeight="false" outlineLevel="0" collapsed="false">
      <c r="A39" s="21" t="s">
        <v>341</v>
      </c>
      <c r="B39" s="21" t="s">
        <v>368</v>
      </c>
      <c r="C39" s="21" t="n">
        <v>3</v>
      </c>
      <c r="D39" s="21" t="s">
        <v>396</v>
      </c>
      <c r="E39" s="23" t="s">
        <v>367</v>
      </c>
      <c r="F39" s="21" t="s">
        <v>358</v>
      </c>
      <c r="G39" s="21" t="s">
        <v>111</v>
      </c>
      <c r="H39" s="21"/>
      <c r="I39" s="21" t="s">
        <v>102</v>
      </c>
      <c r="J39" s="21"/>
      <c r="K39" s="21"/>
      <c r="L39" s="21"/>
    </row>
    <row r="40" customFormat="false" ht="15" hidden="false" customHeight="false" outlineLevel="0" collapsed="false">
      <c r="A40" s="21" t="s">
        <v>341</v>
      </c>
      <c r="B40" s="21" t="s">
        <v>368</v>
      </c>
      <c r="C40" s="21" t="n">
        <v>3</v>
      </c>
      <c r="D40" s="21" t="s">
        <v>397</v>
      </c>
      <c r="E40" s="23" t="s">
        <v>367</v>
      </c>
      <c r="F40" s="21" t="s">
        <v>358</v>
      </c>
      <c r="G40" s="21" t="s">
        <v>103</v>
      </c>
      <c r="H40" s="21"/>
      <c r="I40" s="21" t="s">
        <v>102</v>
      </c>
      <c r="J40" s="21"/>
      <c r="K40" s="21"/>
      <c r="L40" s="21"/>
    </row>
    <row r="41" customFormat="false" ht="15" hidden="false" customHeight="false" outlineLevel="0" collapsed="false">
      <c r="A41" s="21" t="s">
        <v>341</v>
      </c>
      <c r="B41" s="21" t="s">
        <v>368</v>
      </c>
      <c r="C41" s="21" t="n">
        <v>3</v>
      </c>
      <c r="D41" s="21" t="s">
        <v>398</v>
      </c>
      <c r="E41" s="23" t="s">
        <v>367</v>
      </c>
      <c r="F41" s="21" t="s">
        <v>358</v>
      </c>
      <c r="G41" s="21" t="s">
        <v>139</v>
      </c>
      <c r="H41" s="21"/>
      <c r="I41" s="21" t="s">
        <v>102</v>
      </c>
      <c r="J41" s="21"/>
      <c r="K41" s="21"/>
      <c r="L41" s="21"/>
    </row>
    <row r="42" customFormat="false" ht="15" hidden="false" customHeight="false" outlineLevel="0" collapsed="false">
      <c r="A42" s="13" t="s">
        <v>341</v>
      </c>
      <c r="B42" s="13" t="s">
        <v>368</v>
      </c>
      <c r="C42" s="13" t="n">
        <v>1</v>
      </c>
      <c r="D42" s="13" t="s">
        <v>197</v>
      </c>
      <c r="E42" s="22" t="s">
        <v>367</v>
      </c>
      <c r="F42" s="13" t="s">
        <v>370</v>
      </c>
      <c r="G42" s="13" t="s">
        <v>197</v>
      </c>
      <c r="H42" s="13"/>
      <c r="I42" s="13"/>
      <c r="J42" s="13"/>
      <c r="K42" s="13"/>
      <c r="L42" s="13"/>
    </row>
    <row r="43" customFormat="false" ht="15" hidden="false" customHeight="false" outlineLevel="0" collapsed="false">
      <c r="A43" s="13" t="s">
        <v>342</v>
      </c>
      <c r="B43" s="13" t="s">
        <v>368</v>
      </c>
      <c r="C43" s="13" t="n">
        <v>1</v>
      </c>
      <c r="D43" s="13" t="s">
        <v>64</v>
      </c>
      <c r="E43" s="22" t="s">
        <v>367</v>
      </c>
      <c r="F43" s="13" t="s">
        <v>370</v>
      </c>
      <c r="G43" s="13" t="s">
        <v>64</v>
      </c>
      <c r="H43" s="13" t="s">
        <v>319</v>
      </c>
      <c r="I43" s="13"/>
      <c r="J43" s="13"/>
      <c r="K43" s="13"/>
      <c r="L43" s="13" t="s">
        <v>393</v>
      </c>
    </row>
    <row r="44" customFormat="false" ht="23.85" hidden="false" customHeight="false" outlineLevel="0" collapsed="false">
      <c r="A44" s="21" t="s">
        <v>342</v>
      </c>
      <c r="B44" s="21" t="s">
        <v>368</v>
      </c>
      <c r="C44" s="21" t="n">
        <v>2</v>
      </c>
      <c r="D44" s="21" t="s">
        <v>394</v>
      </c>
      <c r="E44" s="23" t="s">
        <v>367</v>
      </c>
      <c r="F44" s="21" t="s">
        <v>358</v>
      </c>
      <c r="G44" s="21" t="s">
        <v>102</v>
      </c>
      <c r="H44" s="21"/>
      <c r="I44" s="21" t="s">
        <v>64</v>
      </c>
      <c r="J44" s="21" t="s">
        <v>197</v>
      </c>
      <c r="K44" s="21"/>
      <c r="L44" s="21" t="s">
        <v>395</v>
      </c>
    </row>
    <row r="45" customFormat="false" ht="15" hidden="false" customHeight="false" outlineLevel="0" collapsed="false">
      <c r="A45" s="21" t="s">
        <v>342</v>
      </c>
      <c r="B45" s="21" t="s">
        <v>368</v>
      </c>
      <c r="C45" s="21" t="n">
        <v>3</v>
      </c>
      <c r="D45" s="21" t="s">
        <v>396</v>
      </c>
      <c r="E45" s="23" t="s">
        <v>367</v>
      </c>
      <c r="F45" s="21" t="s">
        <v>358</v>
      </c>
      <c r="G45" s="21" t="s">
        <v>111</v>
      </c>
      <c r="H45" s="21"/>
      <c r="I45" s="21" t="s">
        <v>102</v>
      </c>
      <c r="J45" s="21"/>
      <c r="K45" s="21"/>
      <c r="L45" s="21"/>
    </row>
    <row r="46" customFormat="false" ht="15" hidden="false" customHeight="false" outlineLevel="0" collapsed="false">
      <c r="A46" s="21" t="s">
        <v>342</v>
      </c>
      <c r="B46" s="21" t="s">
        <v>368</v>
      </c>
      <c r="C46" s="21" t="n">
        <v>3</v>
      </c>
      <c r="D46" s="21" t="s">
        <v>397</v>
      </c>
      <c r="E46" s="23" t="s">
        <v>367</v>
      </c>
      <c r="F46" s="21" t="s">
        <v>358</v>
      </c>
      <c r="G46" s="21" t="s">
        <v>103</v>
      </c>
      <c r="H46" s="21"/>
      <c r="I46" s="21" t="s">
        <v>102</v>
      </c>
      <c r="J46" s="21"/>
      <c r="K46" s="21"/>
      <c r="L46" s="21"/>
    </row>
    <row r="47" customFormat="false" ht="15" hidden="false" customHeight="false" outlineLevel="0" collapsed="false">
      <c r="A47" s="21" t="s">
        <v>342</v>
      </c>
      <c r="B47" s="21" t="s">
        <v>368</v>
      </c>
      <c r="C47" s="21" t="n">
        <v>3</v>
      </c>
      <c r="D47" s="21" t="s">
        <v>398</v>
      </c>
      <c r="E47" s="23" t="s">
        <v>367</v>
      </c>
      <c r="F47" s="21" t="s">
        <v>358</v>
      </c>
      <c r="G47" s="21" t="s">
        <v>139</v>
      </c>
      <c r="H47" s="21"/>
      <c r="I47" s="21" t="s">
        <v>102</v>
      </c>
      <c r="J47" s="21"/>
      <c r="K47" s="21"/>
      <c r="L47" s="21"/>
    </row>
    <row r="48" customFormat="false" ht="15" hidden="false" customHeight="false" outlineLevel="0" collapsed="false">
      <c r="A48" s="13" t="s">
        <v>342</v>
      </c>
      <c r="B48" s="13" t="s">
        <v>368</v>
      </c>
      <c r="C48" s="13" t="n">
        <v>1</v>
      </c>
      <c r="D48" s="13" t="s">
        <v>197</v>
      </c>
      <c r="E48" s="22" t="s">
        <v>367</v>
      </c>
      <c r="F48" s="13" t="s">
        <v>370</v>
      </c>
      <c r="G48" s="13" t="s">
        <v>197</v>
      </c>
      <c r="H48" s="13"/>
      <c r="I48" s="13"/>
      <c r="J48" s="13"/>
      <c r="K48" s="13"/>
      <c r="L48" s="13"/>
    </row>
    <row r="49" customFormat="false" ht="15" hidden="false" customHeight="false" outlineLevel="0" collapsed="false">
      <c r="A49" s="13" t="s">
        <v>343</v>
      </c>
      <c r="B49" s="13" t="s">
        <v>368</v>
      </c>
      <c r="C49" s="13" t="n">
        <v>1</v>
      </c>
      <c r="D49" s="13" t="s">
        <v>64</v>
      </c>
      <c r="E49" s="22" t="s">
        <v>367</v>
      </c>
      <c r="F49" s="13" t="s">
        <v>370</v>
      </c>
      <c r="G49" s="13" t="s">
        <v>64</v>
      </c>
      <c r="H49" s="13" t="s">
        <v>319</v>
      </c>
      <c r="I49" s="13"/>
      <c r="J49" s="13"/>
      <c r="K49" s="13"/>
      <c r="L49" s="13" t="s">
        <v>393</v>
      </c>
    </row>
    <row r="50" customFormat="false" ht="23.85" hidden="false" customHeight="false" outlineLevel="0" collapsed="false">
      <c r="A50" s="21" t="s">
        <v>343</v>
      </c>
      <c r="B50" s="21" t="s">
        <v>368</v>
      </c>
      <c r="C50" s="21" t="n">
        <v>2</v>
      </c>
      <c r="D50" s="21" t="s">
        <v>394</v>
      </c>
      <c r="E50" s="23" t="s">
        <v>367</v>
      </c>
      <c r="F50" s="21" t="s">
        <v>358</v>
      </c>
      <c r="G50" s="21" t="s">
        <v>102</v>
      </c>
      <c r="H50" s="21"/>
      <c r="I50" s="21" t="s">
        <v>64</v>
      </c>
      <c r="J50" s="21" t="s">
        <v>197</v>
      </c>
      <c r="K50" s="21"/>
      <c r="L50" s="21" t="s">
        <v>395</v>
      </c>
    </row>
    <row r="51" customFormat="false" ht="15" hidden="false" customHeight="false" outlineLevel="0" collapsed="false">
      <c r="A51" s="21" t="s">
        <v>343</v>
      </c>
      <c r="B51" s="21" t="s">
        <v>368</v>
      </c>
      <c r="C51" s="21" t="n">
        <v>3</v>
      </c>
      <c r="D51" s="21" t="s">
        <v>396</v>
      </c>
      <c r="E51" s="23" t="s">
        <v>367</v>
      </c>
      <c r="F51" s="21" t="s">
        <v>358</v>
      </c>
      <c r="G51" s="21" t="s">
        <v>111</v>
      </c>
      <c r="H51" s="21"/>
      <c r="I51" s="21" t="s">
        <v>102</v>
      </c>
      <c r="J51" s="21"/>
      <c r="K51" s="21"/>
      <c r="L51" s="21"/>
    </row>
    <row r="52" customFormat="false" ht="15" hidden="false" customHeight="false" outlineLevel="0" collapsed="false">
      <c r="A52" s="21" t="s">
        <v>343</v>
      </c>
      <c r="B52" s="21" t="s">
        <v>368</v>
      </c>
      <c r="C52" s="21" t="n">
        <v>3</v>
      </c>
      <c r="D52" s="21" t="s">
        <v>397</v>
      </c>
      <c r="E52" s="23" t="s">
        <v>367</v>
      </c>
      <c r="F52" s="21" t="s">
        <v>358</v>
      </c>
      <c r="G52" s="21" t="s">
        <v>103</v>
      </c>
      <c r="H52" s="21"/>
      <c r="I52" s="21" t="s">
        <v>102</v>
      </c>
      <c r="J52" s="21"/>
      <c r="K52" s="21"/>
      <c r="L52" s="21"/>
    </row>
    <row r="53" customFormat="false" ht="15" hidden="false" customHeight="false" outlineLevel="0" collapsed="false">
      <c r="A53" s="21" t="s">
        <v>343</v>
      </c>
      <c r="B53" s="21" t="s">
        <v>368</v>
      </c>
      <c r="C53" s="21" t="n">
        <v>3</v>
      </c>
      <c r="D53" s="21" t="s">
        <v>398</v>
      </c>
      <c r="E53" s="23" t="s">
        <v>367</v>
      </c>
      <c r="F53" s="21" t="s">
        <v>358</v>
      </c>
      <c r="G53" s="21" t="s">
        <v>139</v>
      </c>
      <c r="H53" s="21"/>
      <c r="I53" s="21" t="s">
        <v>102</v>
      </c>
      <c r="J53" s="21"/>
      <c r="K53" s="21"/>
      <c r="L53" s="21"/>
    </row>
    <row r="54" customFormat="false" ht="15" hidden="false" customHeight="false" outlineLevel="0" collapsed="false">
      <c r="A54" s="13" t="s">
        <v>343</v>
      </c>
      <c r="B54" s="13" t="s">
        <v>368</v>
      </c>
      <c r="C54" s="13" t="n">
        <v>1</v>
      </c>
      <c r="D54" s="13" t="s">
        <v>197</v>
      </c>
      <c r="E54" s="22" t="s">
        <v>367</v>
      </c>
      <c r="F54" s="13" t="s">
        <v>370</v>
      </c>
      <c r="G54" s="13" t="s">
        <v>197</v>
      </c>
      <c r="H54" s="13"/>
      <c r="I54" s="13"/>
      <c r="J54" s="13"/>
      <c r="K54" s="13"/>
      <c r="L54" s="13"/>
    </row>
    <row r="55" customFormat="false" ht="15" hidden="false" customHeight="false" outlineLevel="0" collapsed="false">
      <c r="A55" s="13" t="s">
        <v>344</v>
      </c>
      <c r="B55" s="13" t="s">
        <v>368</v>
      </c>
      <c r="C55" s="13" t="n">
        <v>1</v>
      </c>
      <c r="D55" s="13" t="s">
        <v>64</v>
      </c>
      <c r="E55" s="22" t="s">
        <v>367</v>
      </c>
      <c r="F55" s="13" t="s">
        <v>370</v>
      </c>
      <c r="G55" s="13" t="s">
        <v>64</v>
      </c>
      <c r="H55" s="13" t="s">
        <v>319</v>
      </c>
      <c r="I55" s="13"/>
      <c r="J55" s="13"/>
      <c r="K55" s="13"/>
      <c r="L55" s="13" t="s">
        <v>393</v>
      </c>
    </row>
    <row r="56" customFormat="false" ht="23.85" hidden="false" customHeight="false" outlineLevel="0" collapsed="false">
      <c r="A56" s="21" t="s">
        <v>344</v>
      </c>
      <c r="B56" s="21" t="s">
        <v>368</v>
      </c>
      <c r="C56" s="21" t="n">
        <v>2</v>
      </c>
      <c r="D56" s="21" t="s">
        <v>394</v>
      </c>
      <c r="E56" s="23" t="s">
        <v>367</v>
      </c>
      <c r="F56" s="21" t="s">
        <v>358</v>
      </c>
      <c r="G56" s="21" t="s">
        <v>102</v>
      </c>
      <c r="H56" s="21"/>
      <c r="I56" s="21" t="s">
        <v>64</v>
      </c>
      <c r="J56" s="21" t="s">
        <v>197</v>
      </c>
      <c r="K56" s="21"/>
      <c r="L56" s="21" t="s">
        <v>395</v>
      </c>
    </row>
    <row r="57" customFormat="false" ht="15" hidden="false" customHeight="false" outlineLevel="0" collapsed="false">
      <c r="A57" s="21" t="s">
        <v>344</v>
      </c>
      <c r="B57" s="21" t="s">
        <v>368</v>
      </c>
      <c r="C57" s="21" t="n">
        <v>3</v>
      </c>
      <c r="D57" s="21" t="s">
        <v>396</v>
      </c>
      <c r="E57" s="23" t="s">
        <v>367</v>
      </c>
      <c r="F57" s="21" t="s">
        <v>358</v>
      </c>
      <c r="G57" s="21" t="s">
        <v>111</v>
      </c>
      <c r="H57" s="21"/>
      <c r="I57" s="21" t="s">
        <v>102</v>
      </c>
      <c r="J57" s="21"/>
      <c r="K57" s="21"/>
      <c r="L57" s="21"/>
    </row>
    <row r="58" customFormat="false" ht="15" hidden="false" customHeight="false" outlineLevel="0" collapsed="false">
      <c r="A58" s="21" t="s">
        <v>344</v>
      </c>
      <c r="B58" s="21" t="s">
        <v>368</v>
      </c>
      <c r="C58" s="21" t="n">
        <v>3</v>
      </c>
      <c r="D58" s="21" t="s">
        <v>397</v>
      </c>
      <c r="E58" s="23" t="s">
        <v>367</v>
      </c>
      <c r="F58" s="21" t="s">
        <v>358</v>
      </c>
      <c r="G58" s="21" t="s">
        <v>103</v>
      </c>
      <c r="H58" s="21"/>
      <c r="I58" s="21" t="s">
        <v>102</v>
      </c>
      <c r="J58" s="21"/>
      <c r="K58" s="21"/>
      <c r="L58" s="21"/>
    </row>
    <row r="59" customFormat="false" ht="15" hidden="false" customHeight="false" outlineLevel="0" collapsed="false">
      <c r="A59" s="21" t="s">
        <v>344</v>
      </c>
      <c r="B59" s="21" t="s">
        <v>368</v>
      </c>
      <c r="C59" s="21" t="n">
        <v>3</v>
      </c>
      <c r="D59" s="21" t="s">
        <v>398</v>
      </c>
      <c r="E59" s="23" t="s">
        <v>367</v>
      </c>
      <c r="F59" s="21" t="s">
        <v>358</v>
      </c>
      <c r="G59" s="21" t="s">
        <v>139</v>
      </c>
      <c r="H59" s="21"/>
      <c r="I59" s="21" t="s">
        <v>102</v>
      </c>
      <c r="J59" s="21"/>
      <c r="K59" s="21"/>
      <c r="L59" s="21"/>
    </row>
    <row r="60" customFormat="false" ht="15" hidden="false" customHeight="false" outlineLevel="0" collapsed="false">
      <c r="A60" s="13" t="s">
        <v>344</v>
      </c>
      <c r="B60" s="13" t="s">
        <v>368</v>
      </c>
      <c r="C60" s="13" t="n">
        <v>1</v>
      </c>
      <c r="D60" s="13" t="s">
        <v>197</v>
      </c>
      <c r="E60" s="22" t="s">
        <v>367</v>
      </c>
      <c r="F60" s="13" t="s">
        <v>370</v>
      </c>
      <c r="G60" s="13" t="s">
        <v>197</v>
      </c>
      <c r="H60" s="13"/>
      <c r="I60" s="13"/>
      <c r="J60" s="13"/>
      <c r="K60" s="13"/>
      <c r="L60" s="13"/>
    </row>
  </sheetData>
  <autoFilter ref="A1:L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399</v>
      </c>
      <c r="B1" s="9" t="s">
        <v>400</v>
      </c>
      <c r="C1" s="9" t="s">
        <v>401</v>
      </c>
      <c r="D1" s="9" t="s">
        <v>402</v>
      </c>
      <c r="E1" s="9" t="s">
        <v>403</v>
      </c>
      <c r="F1" s="9" t="s">
        <v>404</v>
      </c>
      <c r="G1" s="9" t="s">
        <v>405</v>
      </c>
      <c r="H1" s="9" t="s">
        <v>406</v>
      </c>
      <c r="I1" s="9" t="s">
        <v>318</v>
      </c>
    </row>
    <row r="2" customFormat="false" ht="15" hidden="false" customHeight="false" outlineLevel="0" collapsed="false">
      <c r="A2" s="13" t="s">
        <v>319</v>
      </c>
      <c r="B2" s="13" t="s">
        <v>247</v>
      </c>
      <c r="C2" s="13" t="s">
        <v>407</v>
      </c>
      <c r="D2" s="13" t="s">
        <v>408</v>
      </c>
      <c r="E2" s="13"/>
      <c r="F2" s="13"/>
      <c r="G2" s="13"/>
      <c r="H2" s="13" t="s">
        <v>409</v>
      </c>
      <c r="I2" s="13"/>
    </row>
    <row r="3" customFormat="false" ht="23.85" hidden="false" customHeight="false" outlineLevel="0" collapsed="false">
      <c r="A3" s="13" t="s">
        <v>327</v>
      </c>
      <c r="B3" s="13" t="s">
        <v>410</v>
      </c>
      <c r="C3" s="13" t="s">
        <v>407</v>
      </c>
      <c r="D3" s="13" t="s">
        <v>411</v>
      </c>
      <c r="E3" s="13"/>
      <c r="F3" s="13"/>
      <c r="G3" s="13"/>
      <c r="H3" s="13" t="s">
        <v>412</v>
      </c>
      <c r="I3" s="13"/>
    </row>
    <row r="4" customFormat="false" ht="23.85" hidden="false" customHeight="false" outlineLevel="0" collapsed="false">
      <c r="A4" s="13" t="s">
        <v>340</v>
      </c>
      <c r="B4" s="13" t="s">
        <v>413</v>
      </c>
      <c r="C4" s="13" t="s">
        <v>407</v>
      </c>
      <c r="D4" s="13" t="s">
        <v>414</v>
      </c>
      <c r="E4" s="13"/>
      <c r="F4" s="13"/>
      <c r="G4" s="13"/>
      <c r="H4" s="13" t="s">
        <v>415</v>
      </c>
      <c r="I4" s="13"/>
    </row>
    <row r="5" customFormat="false" ht="23.85" hidden="false" customHeight="false" outlineLevel="0" collapsed="false">
      <c r="A5" s="13" t="s">
        <v>341</v>
      </c>
      <c r="B5" s="13" t="s">
        <v>413</v>
      </c>
      <c r="C5" s="13" t="s">
        <v>407</v>
      </c>
      <c r="D5" s="13" t="s">
        <v>414</v>
      </c>
      <c r="E5" s="13"/>
      <c r="F5" s="13"/>
      <c r="G5" s="13"/>
      <c r="H5" s="13" t="s">
        <v>416</v>
      </c>
      <c r="I5" s="13"/>
    </row>
    <row r="6" customFormat="false" ht="23.85" hidden="false" customHeight="false" outlineLevel="0" collapsed="false">
      <c r="A6" s="13" t="s">
        <v>342</v>
      </c>
      <c r="B6" s="13" t="s">
        <v>417</v>
      </c>
      <c r="C6" s="13" t="s">
        <v>407</v>
      </c>
      <c r="D6" s="13" t="s">
        <v>418</v>
      </c>
      <c r="E6" s="13"/>
      <c r="F6" s="13"/>
      <c r="G6" s="13"/>
      <c r="H6" s="13" t="s">
        <v>419</v>
      </c>
      <c r="I6" s="13"/>
    </row>
    <row r="7" customFormat="false" ht="15" hidden="false" customHeight="false" outlineLevel="0" collapsed="false">
      <c r="A7" s="13" t="s">
        <v>343</v>
      </c>
      <c r="B7" s="13" t="s">
        <v>417</v>
      </c>
      <c r="C7" s="13" t="s">
        <v>407</v>
      </c>
      <c r="D7" s="13" t="s">
        <v>418</v>
      </c>
      <c r="E7" s="13"/>
      <c r="F7" s="13"/>
      <c r="G7" s="13"/>
      <c r="H7" s="13" t="s">
        <v>420</v>
      </c>
      <c r="I7" s="13"/>
    </row>
    <row r="8" customFormat="false" ht="23.85" hidden="false" customHeight="false" outlineLevel="0" collapsed="false">
      <c r="A8" s="13" t="s">
        <v>344</v>
      </c>
      <c r="B8" s="13" t="s">
        <v>421</v>
      </c>
      <c r="C8" s="13" t="s">
        <v>422</v>
      </c>
      <c r="D8" s="13" t="s">
        <v>423</v>
      </c>
      <c r="E8" s="13"/>
      <c r="F8" s="13"/>
      <c r="G8" s="13"/>
      <c r="H8" s="13" t="s">
        <v>424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425</v>
      </c>
      <c r="B1" s="9" t="s">
        <v>426</v>
      </c>
      <c r="C1" s="9" t="s">
        <v>427</v>
      </c>
      <c r="D1" s="9" t="s">
        <v>428</v>
      </c>
      <c r="E1" s="9" t="s">
        <v>429</v>
      </c>
      <c r="F1" s="9" t="s">
        <v>318</v>
      </c>
    </row>
    <row r="2" customFormat="false" ht="23.85" hidden="false" customHeight="false" outlineLevel="0" collapsed="false">
      <c r="A2" s="13" t="s">
        <v>430</v>
      </c>
      <c r="B2" s="13" t="s">
        <v>431</v>
      </c>
      <c r="C2" s="13" t="s">
        <v>432</v>
      </c>
      <c r="D2" s="13" t="s">
        <v>91</v>
      </c>
      <c r="E2" s="13" t="s">
        <v>433</v>
      </c>
      <c r="F2" s="13"/>
    </row>
    <row r="3" customFormat="false" ht="23.85" hidden="false" customHeight="false" outlineLevel="0" collapsed="false">
      <c r="A3" s="13" t="s">
        <v>434</v>
      </c>
      <c r="B3" s="13" t="s">
        <v>435</v>
      </c>
      <c r="C3" s="13" t="s">
        <v>436</v>
      </c>
      <c r="D3" s="13" t="s">
        <v>65</v>
      </c>
      <c r="E3" s="13" t="s">
        <v>433</v>
      </c>
      <c r="F3" s="13"/>
    </row>
    <row r="4" customFormat="false" ht="15" hidden="false" customHeight="false" outlineLevel="0" collapsed="false">
      <c r="A4" s="13" t="s">
        <v>437</v>
      </c>
      <c r="B4" s="13" t="s">
        <v>438</v>
      </c>
      <c r="C4" s="13" t="s">
        <v>439</v>
      </c>
      <c r="D4" s="13" t="s">
        <v>74</v>
      </c>
      <c r="E4" s="13" t="s">
        <v>433</v>
      </c>
      <c r="F4" s="13"/>
    </row>
    <row r="5" customFormat="false" ht="15" hidden="false" customHeight="false" outlineLevel="0" collapsed="false">
      <c r="A5" s="13" t="s">
        <v>440</v>
      </c>
      <c r="B5" s="13" t="s">
        <v>441</v>
      </c>
      <c r="C5" s="13" t="s">
        <v>442</v>
      </c>
      <c r="D5" s="13" t="s">
        <v>64</v>
      </c>
      <c r="E5" s="13" t="s">
        <v>433</v>
      </c>
      <c r="F5" s="13"/>
    </row>
    <row r="6" customFormat="false" ht="23.85" hidden="false" customHeight="false" outlineLevel="0" collapsed="false">
      <c r="A6" s="13" t="s">
        <v>443</v>
      </c>
      <c r="B6" s="13" t="s">
        <v>444</v>
      </c>
      <c r="C6" s="13"/>
      <c r="D6" s="13" t="s">
        <v>64</v>
      </c>
      <c r="E6" s="13" t="s">
        <v>433</v>
      </c>
      <c r="F6" s="13"/>
    </row>
    <row r="7" customFormat="false" ht="15" hidden="false" customHeight="false" outlineLevel="0" collapsed="false">
      <c r="A7" s="13" t="s">
        <v>445</v>
      </c>
      <c r="B7" s="13" t="s">
        <v>446</v>
      </c>
      <c r="C7" s="13" t="s">
        <v>447</v>
      </c>
      <c r="D7" s="13" t="s">
        <v>74</v>
      </c>
      <c r="E7" s="13" t="s">
        <v>433</v>
      </c>
      <c r="F7" s="13"/>
    </row>
    <row r="8" customFormat="false" ht="15" hidden="false" customHeight="false" outlineLevel="0" collapsed="false">
      <c r="A8" s="13" t="s">
        <v>448</v>
      </c>
      <c r="B8" s="13" t="s">
        <v>449</v>
      </c>
      <c r="C8" s="13" t="s">
        <v>450</v>
      </c>
      <c r="D8" s="13" t="s">
        <v>65</v>
      </c>
      <c r="E8" s="13" t="s">
        <v>433</v>
      </c>
      <c r="F8" s="13"/>
    </row>
    <row r="9" customFormat="false" ht="15" hidden="false" customHeight="false" outlineLevel="0" collapsed="false">
      <c r="A9" s="13" t="s">
        <v>451</v>
      </c>
      <c r="B9" s="13" t="s">
        <v>452</v>
      </c>
      <c r="C9" s="13" t="s">
        <v>453</v>
      </c>
      <c r="D9" s="13" t="s">
        <v>64</v>
      </c>
      <c r="E9" s="13" t="s">
        <v>433</v>
      </c>
      <c r="F9" s="13"/>
    </row>
    <row r="10" customFormat="false" ht="23.85" hidden="false" customHeight="false" outlineLevel="0" collapsed="false">
      <c r="A10" s="13" t="s">
        <v>454</v>
      </c>
      <c r="B10" s="13" t="s">
        <v>455</v>
      </c>
      <c r="C10" s="13" t="s">
        <v>456</v>
      </c>
      <c r="D10" s="13" t="s">
        <v>65</v>
      </c>
      <c r="E10" s="13" t="s">
        <v>433</v>
      </c>
      <c r="F10" s="13"/>
    </row>
    <row r="11" customFormat="false" ht="15" hidden="false" customHeight="false" outlineLevel="0" collapsed="false">
      <c r="A11" s="13" t="s">
        <v>457</v>
      </c>
      <c r="B11" s="13" t="s">
        <v>458</v>
      </c>
      <c r="C11" s="13"/>
      <c r="D11" s="13" t="s">
        <v>91</v>
      </c>
      <c r="E11" s="13" t="s">
        <v>433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459</v>
      </c>
      <c r="B1" s="9" t="s">
        <v>460</v>
      </c>
      <c r="C1" s="9" t="s">
        <v>461</v>
      </c>
      <c r="D1" s="9" t="s">
        <v>462</v>
      </c>
      <c r="E1" s="9" t="s">
        <v>428</v>
      </c>
      <c r="F1" s="9" t="s">
        <v>463</v>
      </c>
      <c r="G1" s="9" t="s">
        <v>318</v>
      </c>
    </row>
    <row r="2" customFormat="false" ht="15" hidden="false" customHeight="false" outlineLevel="0" collapsed="false">
      <c r="A2" s="13" t="s">
        <v>464</v>
      </c>
      <c r="B2" s="13" t="s">
        <v>465</v>
      </c>
      <c r="C2" s="13" t="s">
        <v>466</v>
      </c>
      <c r="D2" s="13" t="s">
        <v>73</v>
      </c>
      <c r="E2" s="13" t="s">
        <v>102</v>
      </c>
      <c r="F2" s="13"/>
      <c r="G2" s="13"/>
    </row>
    <row r="3" customFormat="false" ht="15" hidden="false" customHeight="false" outlineLevel="0" collapsed="false">
      <c r="A3" s="13" t="s">
        <v>467</v>
      </c>
      <c r="B3" s="13" t="s">
        <v>468</v>
      </c>
      <c r="C3" s="13" t="s">
        <v>469</v>
      </c>
      <c r="D3" s="13" t="s">
        <v>84</v>
      </c>
      <c r="E3" s="13" t="s">
        <v>103</v>
      </c>
      <c r="F3" s="13"/>
      <c r="G3" s="13"/>
    </row>
    <row r="4" customFormat="false" ht="15" hidden="false" customHeight="false" outlineLevel="0" collapsed="false">
      <c r="A4" s="13" t="s">
        <v>470</v>
      </c>
      <c r="B4" s="13" t="s">
        <v>471</v>
      </c>
      <c r="C4" s="13" t="s">
        <v>472</v>
      </c>
      <c r="D4" s="13" t="s">
        <v>84</v>
      </c>
      <c r="E4" s="13" t="s">
        <v>102</v>
      </c>
      <c r="F4" s="13"/>
      <c r="G4" s="13"/>
    </row>
    <row r="5" customFormat="false" ht="15" hidden="false" customHeight="false" outlineLevel="0" collapsed="false">
      <c r="A5" s="13" t="s">
        <v>473</v>
      </c>
      <c r="B5" s="13" t="s">
        <v>474</v>
      </c>
      <c r="C5" s="13" t="s">
        <v>475</v>
      </c>
      <c r="D5" s="13" t="s">
        <v>73</v>
      </c>
      <c r="E5" s="13" t="s">
        <v>74</v>
      </c>
      <c r="F5" s="13"/>
      <c r="G5" s="13"/>
    </row>
    <row r="6" customFormat="false" ht="15" hidden="false" customHeight="false" outlineLevel="0" collapsed="false">
      <c r="A6" s="13" t="s">
        <v>476</v>
      </c>
      <c r="B6" s="13" t="s">
        <v>477</v>
      </c>
      <c r="C6" s="13" t="s">
        <v>478</v>
      </c>
      <c r="D6" s="13" t="s">
        <v>84</v>
      </c>
      <c r="E6" s="13" t="s">
        <v>139</v>
      </c>
      <c r="F6" s="13"/>
      <c r="G6" s="13"/>
    </row>
    <row r="7" customFormat="false" ht="15" hidden="false" customHeight="false" outlineLevel="0" collapsed="false">
      <c r="A7" s="13" t="s">
        <v>479</v>
      </c>
      <c r="B7" s="13" t="s">
        <v>480</v>
      </c>
      <c r="C7" s="13" t="s">
        <v>481</v>
      </c>
      <c r="D7" s="13" t="s">
        <v>84</v>
      </c>
      <c r="E7" s="13" t="s">
        <v>103</v>
      </c>
      <c r="F7" s="13"/>
      <c r="G7" s="13"/>
    </row>
    <row r="8" customFormat="false" ht="15" hidden="false" customHeight="false" outlineLevel="0" collapsed="false">
      <c r="A8" s="13" t="s">
        <v>482</v>
      </c>
      <c r="B8" s="13" t="s">
        <v>483</v>
      </c>
      <c r="C8" s="13" t="s">
        <v>484</v>
      </c>
      <c r="D8" s="13" t="s">
        <v>84</v>
      </c>
      <c r="E8" s="13" t="s">
        <v>198</v>
      </c>
      <c r="F8" s="13"/>
      <c r="G8" s="13"/>
    </row>
    <row r="9" customFormat="false" ht="15" hidden="false" customHeight="false" outlineLevel="0" collapsed="false">
      <c r="A9" s="13" t="s">
        <v>485</v>
      </c>
      <c r="B9" s="13" t="s">
        <v>486</v>
      </c>
      <c r="C9" s="13" t="s">
        <v>487</v>
      </c>
      <c r="D9" s="13" t="s">
        <v>84</v>
      </c>
      <c r="E9" s="13" t="s">
        <v>103</v>
      </c>
      <c r="F9" s="13"/>
      <c r="G9" s="13"/>
    </row>
    <row r="10" customFormat="false" ht="15" hidden="false" customHeight="false" outlineLevel="0" collapsed="false">
      <c r="A10" s="13" t="s">
        <v>488</v>
      </c>
      <c r="B10" s="13" t="s">
        <v>489</v>
      </c>
      <c r="C10" s="13" t="s">
        <v>490</v>
      </c>
      <c r="D10" s="13" t="s">
        <v>73</v>
      </c>
      <c r="E10" s="13" t="s">
        <v>74</v>
      </c>
      <c r="F10" s="13"/>
      <c r="G10" s="13"/>
    </row>
    <row r="11" customFormat="false" ht="15" hidden="false" customHeight="false" outlineLevel="0" collapsed="false">
      <c r="A11" s="13" t="s">
        <v>491</v>
      </c>
      <c r="B11" s="13" t="s">
        <v>492</v>
      </c>
      <c r="C11" s="13" t="s">
        <v>493</v>
      </c>
      <c r="D11" s="13" t="s">
        <v>84</v>
      </c>
      <c r="E11" s="13" t="s">
        <v>111</v>
      </c>
      <c r="F11" s="13"/>
      <c r="G11" s="13"/>
    </row>
    <row r="12" customFormat="false" ht="15" hidden="false" customHeight="false" outlineLevel="0" collapsed="false">
      <c r="A12" s="13" t="s">
        <v>494</v>
      </c>
      <c r="B12" s="13" t="s">
        <v>495</v>
      </c>
      <c r="C12" s="13" t="s">
        <v>496</v>
      </c>
      <c r="D12" s="13" t="s">
        <v>73</v>
      </c>
      <c r="E12" s="13" t="s">
        <v>91</v>
      </c>
      <c r="F12" s="13"/>
      <c r="G12" s="13"/>
    </row>
    <row r="13" customFormat="false" ht="15" hidden="false" customHeight="false" outlineLevel="0" collapsed="false">
      <c r="A13" s="13" t="s">
        <v>497</v>
      </c>
      <c r="B13" s="13" t="s">
        <v>498</v>
      </c>
      <c r="C13" s="13" t="s">
        <v>499</v>
      </c>
      <c r="D13" s="13" t="s">
        <v>69</v>
      </c>
      <c r="E13" s="13" t="s">
        <v>65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500</v>
      </c>
      <c r="B1" s="9" t="s">
        <v>462</v>
      </c>
      <c r="C1" s="9" t="s">
        <v>501</v>
      </c>
      <c r="D1" s="9" t="s">
        <v>502</v>
      </c>
      <c r="E1" s="9" t="s">
        <v>503</v>
      </c>
      <c r="F1" s="9" t="s">
        <v>504</v>
      </c>
      <c r="G1" s="9" t="s">
        <v>318</v>
      </c>
    </row>
    <row r="2" customFormat="false" ht="23.85" hidden="false" customHeight="false" outlineLevel="0" collapsed="false">
      <c r="A2" s="13" t="s">
        <v>505</v>
      </c>
      <c r="B2" s="13" t="s">
        <v>506</v>
      </c>
      <c r="C2" s="13" t="s">
        <v>507</v>
      </c>
      <c r="D2" s="13" t="s">
        <v>508</v>
      </c>
      <c r="E2" s="13" t="s">
        <v>509</v>
      </c>
      <c r="F2" s="13" t="s">
        <v>510</v>
      </c>
      <c r="G2" s="13"/>
    </row>
    <row r="3" customFormat="false" ht="15" hidden="false" customHeight="false" outlineLevel="0" collapsed="false">
      <c r="A3" s="13" t="s">
        <v>511</v>
      </c>
      <c r="B3" s="13" t="s">
        <v>73</v>
      </c>
      <c r="C3" s="13" t="s">
        <v>512</v>
      </c>
      <c r="D3" s="13" t="s">
        <v>513</v>
      </c>
      <c r="E3" s="13" t="s">
        <v>514</v>
      </c>
      <c r="F3" s="13" t="s">
        <v>515</v>
      </c>
      <c r="G3" s="13"/>
    </row>
    <row r="4" customFormat="false" ht="15" hidden="false" customHeight="false" outlineLevel="0" collapsed="false">
      <c r="A4" s="13" t="s">
        <v>516</v>
      </c>
      <c r="B4" s="13" t="s">
        <v>73</v>
      </c>
      <c r="C4" s="13" t="s">
        <v>512</v>
      </c>
      <c r="D4" s="13" t="s">
        <v>517</v>
      </c>
      <c r="E4" s="13" t="s">
        <v>518</v>
      </c>
      <c r="F4" s="13" t="s">
        <v>519</v>
      </c>
      <c r="G4" s="13"/>
    </row>
    <row r="5" customFormat="false" ht="23.85" hidden="false" customHeight="false" outlineLevel="0" collapsed="false">
      <c r="A5" s="13" t="s">
        <v>520</v>
      </c>
      <c r="B5" s="13" t="s">
        <v>84</v>
      </c>
      <c r="C5" s="13" t="s">
        <v>521</v>
      </c>
      <c r="D5" s="13" t="s">
        <v>522</v>
      </c>
      <c r="E5" s="13" t="s">
        <v>523</v>
      </c>
      <c r="F5" s="13" t="s">
        <v>524</v>
      </c>
      <c r="G5" s="13"/>
    </row>
    <row r="6" customFormat="false" ht="15" hidden="false" customHeight="false" outlineLevel="0" collapsed="false">
      <c r="A6" s="13" t="s">
        <v>525</v>
      </c>
      <c r="B6" s="13" t="s">
        <v>90</v>
      </c>
      <c r="C6" s="13" t="s">
        <v>526</v>
      </c>
      <c r="D6" s="13" t="s">
        <v>527</v>
      </c>
      <c r="E6" s="13" t="s">
        <v>528</v>
      </c>
      <c r="F6" s="13" t="s">
        <v>529</v>
      </c>
      <c r="G6" s="13"/>
    </row>
    <row r="7" customFormat="false" ht="15" hidden="false" customHeight="false" outlineLevel="0" collapsed="false">
      <c r="A7" s="13" t="s">
        <v>530</v>
      </c>
      <c r="B7" s="13" t="s">
        <v>84</v>
      </c>
      <c r="C7" s="13" t="s">
        <v>531</v>
      </c>
      <c r="D7" s="13" t="s">
        <v>532</v>
      </c>
      <c r="E7" s="13" t="s">
        <v>533</v>
      </c>
      <c r="F7" s="13" t="s">
        <v>534</v>
      </c>
      <c r="G7" s="13"/>
    </row>
    <row r="8" customFormat="false" ht="15" hidden="false" customHeight="false" outlineLevel="0" collapsed="false">
      <c r="A8" s="13" t="s">
        <v>535</v>
      </c>
      <c r="B8" s="13" t="s">
        <v>73</v>
      </c>
      <c r="C8" s="13" t="s">
        <v>512</v>
      </c>
      <c r="D8" s="13" t="s">
        <v>536</v>
      </c>
      <c r="E8" s="13" t="s">
        <v>537</v>
      </c>
      <c r="F8" s="13" t="s">
        <v>538</v>
      </c>
      <c r="G8" s="13"/>
    </row>
    <row r="9" customFormat="false" ht="15" hidden="false" customHeight="false" outlineLevel="0" collapsed="false">
      <c r="A9" s="13" t="s">
        <v>539</v>
      </c>
      <c r="B9" s="13" t="s">
        <v>69</v>
      </c>
      <c r="C9" s="13" t="s">
        <v>540</v>
      </c>
      <c r="D9" s="13" t="s">
        <v>541</v>
      </c>
      <c r="E9" s="13" t="s">
        <v>542</v>
      </c>
      <c r="F9" s="13" t="s">
        <v>543</v>
      </c>
      <c r="G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544</v>
      </c>
      <c r="B1" s="9" t="s">
        <v>545</v>
      </c>
      <c r="C1" s="9" t="s">
        <v>546</v>
      </c>
      <c r="D1" s="9" t="s">
        <v>547</v>
      </c>
      <c r="E1" s="9" t="s">
        <v>548</v>
      </c>
      <c r="F1" s="9" t="s">
        <v>429</v>
      </c>
      <c r="G1" s="9" t="s">
        <v>549</v>
      </c>
    </row>
    <row r="2" customFormat="false" ht="23.85" hidden="false" customHeight="false" outlineLevel="0" collapsed="false">
      <c r="A2" s="13" t="s">
        <v>550</v>
      </c>
      <c r="B2" s="13" t="s">
        <v>551</v>
      </c>
      <c r="C2" s="13" t="s">
        <v>552</v>
      </c>
      <c r="D2" s="13" t="s">
        <v>553</v>
      </c>
      <c r="E2" s="13"/>
      <c r="F2" s="13" t="s">
        <v>554</v>
      </c>
      <c r="G2" s="13"/>
    </row>
    <row r="3" customFormat="false" ht="15" hidden="false" customHeight="false" outlineLevel="0" collapsed="false">
      <c r="A3" s="13" t="s">
        <v>555</v>
      </c>
      <c r="B3" s="13" t="s">
        <v>556</v>
      </c>
      <c r="C3" s="13" t="s">
        <v>557</v>
      </c>
      <c r="D3" s="13" t="s">
        <v>226</v>
      </c>
      <c r="E3" s="13"/>
      <c r="F3" s="13" t="s">
        <v>554</v>
      </c>
      <c r="G3" s="13"/>
    </row>
    <row r="4" customFormat="false" ht="23.85" hidden="false" customHeight="false" outlineLevel="0" collapsed="false">
      <c r="A4" s="13" t="s">
        <v>558</v>
      </c>
      <c r="B4" s="13" t="s">
        <v>559</v>
      </c>
      <c r="C4" s="13" t="s">
        <v>560</v>
      </c>
      <c r="D4" s="13" t="s">
        <v>226</v>
      </c>
      <c r="E4" s="13"/>
      <c r="F4" s="13" t="s">
        <v>554</v>
      </c>
      <c r="G4" s="13"/>
    </row>
    <row r="5" customFormat="false" ht="15" hidden="false" customHeight="false" outlineLevel="0" collapsed="false">
      <c r="A5" s="13" t="s">
        <v>561</v>
      </c>
      <c r="B5" s="13" t="s">
        <v>562</v>
      </c>
      <c r="C5" s="13" t="s">
        <v>563</v>
      </c>
      <c r="D5" s="13" t="s">
        <v>564</v>
      </c>
      <c r="E5" s="13"/>
      <c r="F5" s="13" t="s">
        <v>554</v>
      </c>
      <c r="G5" s="13"/>
    </row>
    <row r="6" customFormat="false" ht="15" hidden="false" customHeight="false" outlineLevel="0" collapsed="false">
      <c r="A6" s="13" t="s">
        <v>565</v>
      </c>
      <c r="B6" s="13" t="s">
        <v>566</v>
      </c>
      <c r="C6" s="13" t="s">
        <v>567</v>
      </c>
      <c r="D6" s="13" t="s">
        <v>226</v>
      </c>
      <c r="E6" s="13"/>
      <c r="F6" s="13" t="s">
        <v>554</v>
      </c>
      <c r="G6" s="13"/>
    </row>
    <row r="7" customFormat="false" ht="15" hidden="false" customHeight="false" outlineLevel="0" collapsed="false">
      <c r="A7" s="13" t="s">
        <v>568</v>
      </c>
      <c r="B7" s="13" t="s">
        <v>569</v>
      </c>
      <c r="C7" s="13" t="s">
        <v>570</v>
      </c>
      <c r="D7" s="13" t="s">
        <v>226</v>
      </c>
      <c r="E7" s="13"/>
      <c r="F7" s="13" t="s">
        <v>554</v>
      </c>
      <c r="G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571</v>
      </c>
      <c r="B1" s="9" t="s">
        <v>572</v>
      </c>
      <c r="C1" s="9" t="s">
        <v>573</v>
      </c>
      <c r="D1" s="9" t="s">
        <v>574</v>
      </c>
      <c r="E1" s="9" t="s">
        <v>428</v>
      </c>
      <c r="F1" s="9" t="s">
        <v>429</v>
      </c>
      <c r="G1" s="9" t="s">
        <v>318</v>
      </c>
    </row>
    <row r="2" customFormat="false" ht="23.85" hidden="false" customHeight="false" outlineLevel="0" collapsed="false">
      <c r="A2" s="13" t="s">
        <v>575</v>
      </c>
      <c r="B2" s="13" t="s">
        <v>576</v>
      </c>
      <c r="C2" s="13" t="s">
        <v>577</v>
      </c>
      <c r="D2" s="13" t="s">
        <v>578</v>
      </c>
      <c r="E2" s="13" t="s">
        <v>65</v>
      </c>
      <c r="F2" s="13" t="s">
        <v>579</v>
      </c>
      <c r="G2" s="13"/>
    </row>
    <row r="3" customFormat="false" ht="15" hidden="false" customHeight="false" outlineLevel="0" collapsed="false">
      <c r="A3" s="13" t="s">
        <v>580</v>
      </c>
      <c r="B3" s="13" t="s">
        <v>581</v>
      </c>
      <c r="C3" s="13" t="s">
        <v>582</v>
      </c>
      <c r="D3" s="13" t="s">
        <v>583</v>
      </c>
      <c r="E3" s="13" t="s">
        <v>64</v>
      </c>
      <c r="F3" s="13" t="s">
        <v>579</v>
      </c>
      <c r="G3" s="13"/>
    </row>
    <row r="4" customFormat="false" ht="15" hidden="false" customHeight="false" outlineLevel="0" collapsed="false">
      <c r="A4" s="13" t="s">
        <v>584</v>
      </c>
      <c r="B4" s="13" t="s">
        <v>585</v>
      </c>
      <c r="C4" s="13" t="s">
        <v>586</v>
      </c>
      <c r="D4" s="13" t="s">
        <v>587</v>
      </c>
      <c r="E4" s="13" t="s">
        <v>65</v>
      </c>
      <c r="F4" s="13" t="s">
        <v>579</v>
      </c>
      <c r="G4" s="13"/>
    </row>
    <row r="5" customFormat="false" ht="23.85" hidden="false" customHeight="false" outlineLevel="0" collapsed="false">
      <c r="A5" s="13" t="s">
        <v>588</v>
      </c>
      <c r="B5" s="13" t="s">
        <v>589</v>
      </c>
      <c r="C5" s="13" t="s">
        <v>590</v>
      </c>
      <c r="D5" s="13" t="s">
        <v>591</v>
      </c>
      <c r="E5" s="13" t="s">
        <v>64</v>
      </c>
      <c r="F5" s="13" t="s">
        <v>579</v>
      </c>
      <c r="G5" s="13"/>
    </row>
    <row r="6" customFormat="false" ht="15" hidden="false" customHeight="false" outlineLevel="0" collapsed="false">
      <c r="A6" s="13" t="s">
        <v>592</v>
      </c>
      <c r="B6" s="13" t="s">
        <v>593</v>
      </c>
      <c r="C6" s="13" t="s">
        <v>594</v>
      </c>
      <c r="D6" s="13" t="s">
        <v>595</v>
      </c>
      <c r="E6" s="13" t="s">
        <v>64</v>
      </c>
      <c r="F6" s="13" t="s">
        <v>579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2026-10-07T09:02:07Z</dcterms:created>
  <dc:creator>openpyxl</dc:creator>
  <dc:description/>
  <dc:language>en-US</dc:language>
  <cp:lastModifiedBy/>
  <dcterms:modified xsi:type="dcterms:W3CDTF">2026-10-07T09:02:07Z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