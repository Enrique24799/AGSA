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6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1" state="visible" r:id="rId3"/>
    <sheet name="Notas" sheetId="2" state="visible" r:id="rId4"/>
    <sheet name="Madurez" sheetId="3" state="visible" r:id="rId5"/>
    <sheet name="Procesos" sheetId="4" state="visible" r:id="rId6"/>
    <sheet name="Flujos" sheetId="5" state="visible" r:id="rId7"/>
    <sheet name="RACI" sheetId="6" state="visible" r:id="rId8"/>
    <sheet name="RACI as-is" sheetId="7" state="visible" r:id="rId9"/>
    <sheet name="Roles" sheetId="8" state="visible" r:id="rId10"/>
    <sheet name="Asignación" sheetId="9" state="visible" r:id="rId11"/>
    <sheet name="Organigramas" sheetId="10" state="visible" r:id="rId12"/>
    <sheet name="Empresas" sheetId="11" state="visible" r:id="rId13"/>
    <sheet name="Políticas" sheetId="12" state="visible" r:id="rId14"/>
    <sheet name="KPIs" sheetId="13" state="visible" r:id="rId15"/>
    <sheet name="Reuniones" sheetId="14" state="visible" r:id="rId16"/>
    <sheet name="Decisiones" sheetId="15" state="visible" r:id="rId17"/>
    <sheet name="Plan" sheetId="16" state="visible" r:id="rId18"/>
    <sheet name="Gantt" sheetId="17" state="visible" r:id="rId19"/>
  </sheets>
  <definedNames>
    <definedName function="false" hidden="true" localSheetId="4" name="_xlnm._FilterDatabase" vbProcedure="false">Flujos!$A$1:$L$104</definedName>
    <definedName function="false" hidden="true" localSheetId="1" name="_xlnm._FilterDatabase" vbProcedure="false">Notas!$A$1:$O$310</definedName>
    <definedName function="false" hidden="true" localSheetId="9" name="_xlnm._FilterDatabase" vbProcedure="false">Organigramas!$A$1:$L$61</definedName>
    <definedName function="false" hidden="true" localSheetId="15" name="_xlnm._FilterDatabase" vbProcedure="false">Plan!$A$1:$N$47</definedName>
    <definedName function="false" hidden="true" localSheetId="6" name="_xlnm._FilterDatabase" vbProcedure="false">'RACI as-is'!$A$3:$U$17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<sst xmlns="http://schemas.openxmlformats.org/spreadsheetml/2006/main" count="4902" uniqueCount="905">
  <si>
    <t xml:space="preserve">Modelo de planificación corporativo · CL Grupo Industrial</t>
  </si>
  <si>
    <t xml:space="preserve">Corporativo define procesos, roles, personas, políticas y KPIs; cada planta ejecuta.</t>
  </si>
  <si>
    <t xml:space="preserve">Origen de los datos</t>
  </si>
  <si>
    <t xml:space="preserve">Datos del equipo · export de la herramienta · 2026-10-08 · incluye: Análisis E2E de Ondupet, Necesidades de Ondupet y plan de acción 2027-2028</t>
  </si>
  <si>
    <t xml:space="preserve">Generado</t>
  </si>
  <si>
    <t xml:space="preserve">08/10/2026</t>
  </si>
  <si>
    <t xml:space="preserve">Dónde se edita</t>
  </si>
  <si>
    <t xml:space="preserve">En la herramienta Modelo_Planificacion_CL.html; este Excel es una foto para revisar y compartir.</t>
  </si>
  <si>
    <t xml:space="preserve">Contenido</t>
  </si>
  <si>
    <t xml:space="preserve">Procesos</t>
  </si>
  <si>
    <t xml:space="preserve">Catálogo de procesos y actividades de planificación</t>
  </si>
  <si>
    <t xml:space="preserve">actividades</t>
  </si>
  <si>
    <t xml:space="preserve">Flujos</t>
  </si>
  <si>
    <t xml:space="preserve">Flujos de proceso as-is y to-be por empresa: pasos, responsables y conexiones</t>
  </si>
  <si>
    <t xml:space="preserve">cajas</t>
  </si>
  <si>
    <t xml:space="preserve">Notas</t>
  </si>
  <si>
    <t xml:space="preserve">Notas por empresa y actividad: situación actual, quién, problemas y propuesta</t>
  </si>
  <si>
    <t xml:space="preserve">actividades revisadas</t>
  </si>
  <si>
    <t xml:space="preserve">Madurez</t>
  </si>
  <si>
    <t xml:space="preserve">Situación por empresa y proceso</t>
  </si>
  <si>
    <t xml:space="preserve">RACI</t>
  </si>
  <si>
    <t xml:space="preserve">Matriz RACI por rol, con revisión automática de cada fila</t>
  </si>
  <si>
    <t xml:space="preserve">filas correctas</t>
  </si>
  <si>
    <t xml:space="preserve">RACI as-is</t>
  </si>
  <si>
    <t xml:space="preserve">Cómo se hace hoy en cada empresa y diferencias con el estándar</t>
  </si>
  <si>
    <t xml:space="preserve">filas</t>
  </si>
  <si>
    <t xml:space="preserve">Roles</t>
  </si>
  <si>
    <t xml:space="preserve">Fichas de rol: misión, responsabilidades, qué decide y KPIs</t>
  </si>
  <si>
    <t xml:space="preserve">roles</t>
  </si>
  <si>
    <t xml:space="preserve">Asignación</t>
  </si>
  <si>
    <t xml:space="preserve">Titular y suplente de cada rol en cada empresa</t>
  </si>
  <si>
    <t xml:space="preserve">roles con titular</t>
  </si>
  <si>
    <t xml:space="preserve">Organigramas</t>
  </si>
  <si>
    <t xml:space="preserve">Organigramas as-is y to-be de cada empresa: puesto, persona y dependencias</t>
  </si>
  <si>
    <t xml:space="preserve">puestos</t>
  </si>
  <si>
    <t xml:space="preserve">Empresas</t>
  </si>
  <si>
    <t xml:space="preserve">Perímetro: empresas y plantas</t>
  </si>
  <si>
    <t xml:space="preserve">empresas</t>
  </si>
  <si>
    <t xml:space="preserve">Políticas</t>
  </si>
  <si>
    <t xml:space="preserve">Políticas de planificación: estándar corporativo y parámetros por planta</t>
  </si>
  <si>
    <t xml:space="preserve">políticas</t>
  </si>
  <si>
    <t xml:space="preserve">KPIs</t>
  </si>
  <si>
    <t xml:space="preserve">Cuadro de mando común</t>
  </si>
  <si>
    <t xml:space="preserve">Reuniones</t>
  </si>
  <si>
    <t xml:space="preserve">Cadencia de planificación del grupo</t>
  </si>
  <si>
    <t xml:space="preserve">reuniones</t>
  </si>
  <si>
    <t xml:space="preserve">Decisiones</t>
  </si>
  <si>
    <t xml:space="preserve">Decisiones que hay que cerrar con dirección</t>
  </si>
  <si>
    <t xml:space="preserve">abiertas</t>
  </si>
  <si>
    <t xml:space="preserve">Plan</t>
  </si>
  <si>
    <t xml:space="preserve">Plan de acción: acciones por fase, empresa, responsable y fechas</t>
  </si>
  <si>
    <t xml:space="preserve">acciones</t>
  </si>
  <si>
    <t xml:space="preserve">Gantt</t>
  </si>
  <si>
    <t xml:space="preserve">Cronograma mensual del plan de acción (se calcula desde la hoja Plan)</t>
  </si>
  <si>
    <t xml:space="preserve">hitos</t>
  </si>
  <si>
    <t xml:space="preserve">Leyenda RACI</t>
  </si>
  <si>
    <t xml:space="preserve">A</t>
  </si>
  <si>
    <t xml:space="preserve">Decide y responde del resultado (una sola por actividad)</t>
  </si>
  <si>
    <t xml:space="preserve">R</t>
  </si>
  <si>
    <t xml:space="preserve">Lo ejecuta</t>
  </si>
  <si>
    <t xml:space="preserve">A/R</t>
  </si>
  <si>
    <t xml:space="preserve">Decide y además lo ejecuta</t>
  </si>
  <si>
    <t xml:space="preserve">C</t>
  </si>
  <si>
    <t xml:space="preserve">Se le consulta antes</t>
  </si>
  <si>
    <t xml:space="preserve">I</t>
  </si>
  <si>
    <t xml:space="preserve">Se le informa después</t>
  </si>
  <si>
    <t xml:space="preserve">Empresa</t>
  </si>
  <si>
    <t xml:space="preserve">Proceso</t>
  </si>
  <si>
    <t xml:space="preserve">ID</t>
  </si>
  <si>
    <t xml:space="preserve">Actividad</t>
  </si>
  <si>
    <t xml:space="preserve">Situación</t>
  </si>
  <si>
    <t xml:space="preserve">Quién lo hace hoy</t>
  </si>
  <si>
    <t xml:space="preserve">Herramienta</t>
  </si>
  <si>
    <t xml:space="preserve">Frecuencia real</t>
  </si>
  <si>
    <t xml:space="preserve">Horas/semana</t>
  </si>
  <si>
    <t xml:space="preserve">Cómo se hace hoy</t>
  </si>
  <si>
    <t xml:space="preserve">Problemas</t>
  </si>
  <si>
    <t xml:space="preserve">Propuesta</t>
  </si>
  <si>
    <t xml:space="preserve">Prioridad</t>
  </si>
  <si>
    <t xml:space="preserve">Origen</t>
  </si>
  <si>
    <t xml:space="preserve">Corporativo · Planificación</t>
  </si>
  <si>
    <t xml:space="preserve">Gobierno y S&amp;OP</t>
  </si>
  <si>
    <t xml:space="preserve">G.1</t>
  </si>
  <si>
    <t xml:space="preserve">Modelo de procesos y manual de planificación</t>
  </si>
  <si>
    <t xml:space="preserve">Sin revisar</t>
  </si>
  <si>
    <t xml:space="preserve">Catálogo</t>
  </si>
  <si>
    <t xml:space="preserve">G.2</t>
  </si>
  <si>
    <t xml:space="preserve">Políticas de planificación</t>
  </si>
  <si>
    <t xml:space="preserve">G.3</t>
  </si>
  <si>
    <t xml:space="preserve">S&amp;OP mensual del grupo</t>
  </si>
  <si>
    <t xml:space="preserve">G.4</t>
  </si>
  <si>
    <t xml:space="preserve">Objetivos y revisión de KPIs</t>
  </si>
  <si>
    <t xml:space="preserve">G.5</t>
  </si>
  <si>
    <t xml:space="preserve">Roles, personas, suplencias y formación</t>
  </si>
  <si>
    <t xml:space="preserve">G.6</t>
  </si>
  <si>
    <t xml:space="preserve">Gestión de cambios y prioridad de desarrollos</t>
  </si>
  <si>
    <t xml:space="preserve">Dato maestro</t>
  </si>
  <si>
    <t xml:space="preserve">1.1</t>
  </si>
  <si>
    <t xml:space="preserve">Datos de planificación del material</t>
  </si>
  <si>
    <t xml:space="preserve">1.2</t>
  </si>
  <si>
    <t xml:space="preserve">Segmentación ABC/XYZ y estrategia MTS/MTO</t>
  </si>
  <si>
    <t xml:space="preserve">1.3</t>
  </si>
  <si>
    <t xml:space="preserve">Velocidades, tiempos de cambio y rutas</t>
  </si>
  <si>
    <t xml:space="preserve">1.4</t>
  </si>
  <si>
    <t xml:space="preserve">Calendario de turnos, días y paradas</t>
  </si>
  <si>
    <t xml:space="preserve">1.5</t>
  </si>
  <si>
    <t xml:space="preserve">Auditoría de calidad del dato</t>
  </si>
  <si>
    <t xml:space="preserve">Demanda</t>
  </si>
  <si>
    <t xml:space="preserve">2.1</t>
  </si>
  <si>
    <t xml:space="preserve">Previsión de demanda</t>
  </si>
  <si>
    <t xml:space="preserve">2.2</t>
  </si>
  <si>
    <t xml:space="preserve">Consenso de la previsión con Comercial</t>
  </si>
  <si>
    <t xml:space="preserve">2.3</t>
  </si>
  <si>
    <t xml:space="preserve">Demanda perdida (agotados)</t>
  </si>
  <si>
    <t xml:space="preserve">2.4</t>
  </si>
  <si>
    <t xml:space="preserve">Precisión y sesgo de la previsión</t>
  </si>
  <si>
    <t xml:space="preserve">Cartera</t>
  </si>
  <si>
    <t xml:space="preserve">3.1</t>
  </si>
  <si>
    <t xml:space="preserve">Revisión diaria de la cartera</t>
  </si>
  <si>
    <t xml:space="preserve">3.2</t>
  </si>
  <si>
    <t xml:space="preserve">Cargas vinculadas a pedidos</t>
  </si>
  <si>
    <t xml:space="preserve">3.3</t>
  </si>
  <si>
    <t xml:space="preserve">Cierre (saldado) de pedidos</t>
  </si>
  <si>
    <t xml:space="preserve">3.4</t>
  </si>
  <si>
    <t xml:space="preserve">Prioridad de pedidos en conflicto</t>
  </si>
  <si>
    <t xml:space="preserve">Necesidades</t>
  </si>
  <si>
    <t xml:space="preserve">4.1</t>
  </si>
  <si>
    <t xml:space="preserve">Ejecución y revisión del MRP</t>
  </si>
  <si>
    <t xml:space="preserve">4.2</t>
  </si>
  <si>
    <t xml:space="preserve">Propuesta de fabricación de producto terminado</t>
  </si>
  <si>
    <t xml:space="preserve">4.3</t>
  </si>
  <si>
    <t xml:space="preserve">Necesidades de semielaborado</t>
  </si>
  <si>
    <t xml:space="preserve">4.4</t>
  </si>
  <si>
    <t xml:space="preserve">Necesidades de materias primas y auxiliares</t>
  </si>
  <si>
    <t xml:space="preserve">Capacidad</t>
  </si>
  <si>
    <t xml:space="preserve">5.1</t>
  </si>
  <si>
    <t xml:space="preserve">Carga de capacidad y saturación por línea</t>
  </si>
  <si>
    <t xml:space="preserve">5.2</t>
  </si>
  <si>
    <t xml:space="preserve">Balanceo entre líneas y plantas</t>
  </si>
  <si>
    <t xml:space="preserve">5.3</t>
  </si>
  <si>
    <t xml:space="preserve">Saturación de almacenes</t>
  </si>
  <si>
    <t xml:space="preserve">Programación</t>
  </si>
  <si>
    <t xml:space="preserve">6.1</t>
  </si>
  <si>
    <t xml:space="preserve">Plan de producción semanal</t>
  </si>
  <si>
    <t xml:space="preserve">6.2</t>
  </si>
  <si>
    <t xml:space="preserve">Secuenciación, ciclos y combinación</t>
  </si>
  <si>
    <t xml:space="preserve">6.3</t>
  </si>
  <si>
    <t xml:space="preserve">Lanzamiento de órdenes a máquina</t>
  </si>
  <si>
    <t xml:space="preserve">6.4</t>
  </si>
  <si>
    <t xml:space="preserve">Replanificación ante incidencias</t>
  </si>
  <si>
    <t xml:space="preserve">6.5</t>
  </si>
  <si>
    <t xml:space="preserve">Cronograma de cambios</t>
  </si>
  <si>
    <t xml:space="preserve">Entrega</t>
  </si>
  <si>
    <t xml:space="preserve">7.1</t>
  </si>
  <si>
    <t xml:space="preserve">Compromiso de fecha al cliente</t>
  </si>
  <si>
    <t xml:space="preserve">7.2</t>
  </si>
  <si>
    <t xml:space="preserve">Reserva de stock a pedidos</t>
  </si>
  <si>
    <t xml:space="preserve">7.3</t>
  </si>
  <si>
    <t xml:space="preserve">Retrasos y aviso al cliente</t>
  </si>
  <si>
    <t xml:space="preserve">7.4</t>
  </si>
  <si>
    <t xml:space="preserve">Coordinación con expediciones</t>
  </si>
  <si>
    <t xml:space="preserve">Control</t>
  </si>
  <si>
    <t xml:space="preserve">8.1</t>
  </si>
  <si>
    <t xml:space="preserve">Plan frente a real (adherencia)</t>
  </si>
  <si>
    <t xml:space="preserve">8.2</t>
  </si>
  <si>
    <t xml:space="preserve">OEE y rendimiento por máquina</t>
  </si>
  <si>
    <t xml:space="preserve">8.3</t>
  </si>
  <si>
    <t xml:space="preserve">Balance de masas</t>
  </si>
  <si>
    <t xml:space="preserve">8.4</t>
  </si>
  <si>
    <t xml:space="preserve">Causa raíz de desviaciones</t>
  </si>
  <si>
    <t xml:space="preserve">Intercompany</t>
  </si>
  <si>
    <t xml:space="preserve">I.1</t>
  </si>
  <si>
    <t xml:space="preserve">Mapeo de materiales y mínimos/máximos</t>
  </si>
  <si>
    <t xml:space="preserve">I.2</t>
  </si>
  <si>
    <t xml:space="preserve">Necesidad y pedidos de compra/venta</t>
  </si>
  <si>
    <t xml:space="preserve">I.3</t>
  </si>
  <si>
    <t xml:space="preserve">Planificación en papelera contra pedidos de stock</t>
  </si>
  <si>
    <t xml:space="preserve">I.4</t>
  </si>
  <si>
    <t xml:space="preserve">Recepciones y % de integración</t>
  </si>
  <si>
    <t xml:space="preserve">I.5</t>
  </si>
  <si>
    <t xml:space="preserve">Control y cierre de pedidos intercompany</t>
  </si>
  <si>
    <t xml:space="preserve">Ondupet</t>
  </si>
  <si>
    <t xml:space="preserve">Estándar propio</t>
  </si>
  <si>
    <t xml:space="preserve">Monica Gordillo</t>
  </si>
  <si>
    <t xml:space="preserve">GIO</t>
  </si>
  <si>
    <t xml:space="preserve">Bajo demanda (alta de material nuevo)</t>
  </si>
  <si>
    <t xml:space="preserve">Monica Gordillo crea los materiales: como es de Comercial, es quien antes se entera de que hace falta uno. Consulta con Calidad las características técnicas, pero no pregunta a Planificación qué estrategia debe llevar.</t>
  </si>
  <si>
    <t xml:space="preserve">Planificación no participa en el alta: el material llega sin estrategia (MTS/MTO, ABC) ni ruta revisada. Duda abierta: ¿se consulta a Producción y Mantenimiento la ruta por defecto?</t>
  </si>
  <si>
    <t xml:space="preserve">Alta con plantilla única: Comercial lo solicita, Calidad fija las características y Dato maestro asigna estrategia y ruta consultando a Planificación y Producción. Antes de crear, se comprueba que no haya duplicados.</t>
  </si>
  <si>
    <t xml:space="preserve">Media</t>
  </si>
  <si>
    <t xml:space="preserve">No se hace</t>
  </si>
  <si>
    <t xml:space="preserve">Nadie</t>
  </si>
  <si>
    <t xml:space="preserve">Nunca</t>
  </si>
  <si>
    <t xml:space="preserve">0</t>
  </si>
  <si>
    <t xml:space="preserve">NO SE HACE</t>
  </si>
  <si>
    <t xml:space="preserve">Falta de coordinación y seguimiento entre planificación y comercial</t>
  </si>
  <si>
    <t xml:space="preserve">Cada tres meses debe haber revisión por parte de comercial y planificación para revisar estrategias de productos ya creados y de nueva creación</t>
  </si>
  <si>
    <t xml:space="preserve">Alta</t>
  </si>
  <si>
    <t xml:space="preserve">Tienen transacción preparada para calculo automático de ABC y estrategias</t>
  </si>
  <si>
    <t xml:space="preserve">Solo al dar de alta; las rutas no se revisan</t>
  </si>
  <si>
    <t xml:space="preserve">Las velocidades y los tiempos de cambio dependen del molde, que es un dato fijo del dato maestro. Por eso necesitan mucho menos mantenimiento que en otras plantas.</t>
  </si>
  <si>
    <t xml:space="preserve">Las rutas no se actualizan con la carga de capacidad del mes, así que la carga entre máquinas no se equilibra.</t>
  </si>
  <si>
    <t xml:space="preserve">Cada mes, Programación revisa las rutas por defecto con la carga del mes, consultando a Producción. Velocidades y tiempos de cambio se revisan solo si cambia el molde o hay desviaciones frente a lo real.</t>
  </si>
  <si>
    <t xml:space="preserve">Nadie (correcciones puntuales de Monica Gordillo y su equipo)</t>
  </si>
  <si>
    <t xml:space="preserve">GIO · campo «material reemplazante»</t>
  </si>
  <si>
    <t xml:space="preserve">Nunca; solo correcciones puntuales</t>
  </si>
  <si>
    <t xml:space="preserve">No hay auditoría ni estándar para detectar duplicados, porque no está claro qué características definen un material. Cuando Monica o alguien de su equipo encuentra uno, lo corrige con el campo «material reemplazante», que une el duplicado con el material definitivo sin perder el histórico de ventas ni de producción.</t>
  </si>
  <si>
    <t xml:space="preserve">Los duplicados se encuentran por casualidad: no hay análisis del dato maestro ni un criterio de qué define un material.</t>
  </si>
  <si>
    <t xml:space="preserve">Definir qué características identifican un material y hacer una auditoría mensual (duplicados, datos incompletos e incoherencias) con su KPI. Se sigue usando «material reemplazante» para unir materiales sin perder histórico.</t>
  </si>
  <si>
    <t xml:space="preserve">Manuel Jesus Trinidad</t>
  </si>
  <si>
    <t xml:space="preserve">Mensual, sin día de cierre</t>
  </si>
  <si>
    <t xml:space="preserve">Cada mes, Manuel Jesus Trinidad carga la previsión de cada material: como mínimo, el mes en curso y los tres siguientes.</t>
  </si>
  <si>
    <t xml:space="preserve">No hay día límite para cerrar la previsión. La del mes en curso se cambia sin consultar a Planificación, incluso cuando el material ya está fabricado (no debería estar permitido).</t>
  </si>
  <si>
    <t xml:space="preserve">Calendario mensual con día límite de cierre: Planificación propone la previsión estadística y Comercial la ajusta. Después del cierre, el mes en curso queda congelado y cualquier cambio necesita la aprobación de Planificación.</t>
  </si>
  <si>
    <t xml:space="preserve">No hay un estándar para que Planificación y Comercial se pongan de acuerdo en qué se va a fabricar. Planificación fabrica lo que diga la previsión (descontando stock, órdenes lanzadas…) y con ella genera los temporales.</t>
  </si>
  <si>
    <t xml:space="preserve">No hay plan de demanda acordado: si la previsión es mala, lo son también lo fabricado y los plazos que se dan.</t>
  </si>
  <si>
    <t xml:space="preserve">Reunión mensual de consenso (Comercial, Planificación y S&amp;OP) tras cerrar la previsión, que incluya la revisión de temporales (2.5). Si no hay acuerdo, decide S&amp;OP.</t>
  </si>
  <si>
    <t xml:space="preserve">Informal</t>
  </si>
  <si>
    <t xml:space="preserve">Monica Gordillo y su equipo</t>
  </si>
  <si>
    <t xml:space="preserve">Irregular</t>
  </si>
  <si>
    <t xml:space="preserve">Se va de un extremo a otro: épocas con muchos agotados registrados y 2-3 meses sin registrar ninguno, aunque haya roturas.</t>
  </si>
  <si>
    <t xml:space="preserve">No está claro qué es un agotado, así que el dato no sirve para corregir la previsión.</t>
  </si>
  <si>
    <t xml:space="preserve">Definir qué es un agotado (pedido no servido o rechazado por falta de stock o de plazo), registrarlo a diario con un motivo codificado y revisarlo en el ciclo mensual de previsión.</t>
  </si>
  <si>
    <t xml:space="preserve">Manuel Jesus Trinidad y Victoriano Perez</t>
  </si>
  <si>
    <t xml:space="preserve">Reunión mensual</t>
  </si>
  <si>
    <t xml:space="preserve">Hay una reunión mensual de accuracy entre Manuel Jesus Trinidad y Victoriano Perez, pero Comercial no se implica y Planificación no la impulsa.</t>
  </si>
  <si>
    <t xml:space="preserve">Se ven desviaciones enormes en algunos materiales y no se hace nada.</t>
  </si>
  <si>
    <t xml:space="preserve">KPI mensual de precisión y sesgo por familia y material. Los diez peores se ven en la reunión de consenso y cada desviación tiene responsable y acción, que se revisa al mes siguiente.</t>
  </si>
  <si>
    <t xml:space="preserve">2.5</t>
  </si>
  <si>
    <t xml:space="preserve">Revisión de temporales</t>
  </si>
  <si>
    <t xml:space="preserve">Victoriano Perez</t>
  </si>
  <si>
    <t xml:space="preserve">Mensual, sin revisión conjunta</t>
  </si>
  <si>
    <t xml:space="preserve">Planificación genera los temporales (previsiones de fabricación) a partir de la previsión de Comercial. Sirven para reservar tiempo de cada familia en el ciclo y poder dar plazos en la consulta de plazos.</t>
  </si>
  <si>
    <t xml:space="preserve">No se revisan con Comercial ni con un criterio común: si la previsión no es buena, los plazos que se dan tampoco.</t>
  </si>
  <si>
    <t xml:space="preserve">Revisión mensual de los temporales con la previsión ya consensuada, dentro de la reunión de consenso (2.2).</t>
  </si>
  <si>
    <t xml:space="preserve">Del análisis E2E: falta decidir si es un apartado propio o forma parte de 2.2 (consenso de la previsión).</t>
  </si>
  <si>
    <t xml:space="preserve">Propio de la planta</t>
  </si>
  <si>
    <t xml:space="preserve">Monica Gordillo (Comercial) y Victoriano Perez (Planificación), por separado</t>
  </si>
  <si>
    <t xml:space="preserve">Diaria</t>
  </si>
  <si>
    <t xml:space="preserve">Cada día, Comercial y Planificación revisan por separado la cartera de pedidos, el stock disponible y las cargas, y lo ponen en común en la reunión de producción.</t>
  </si>
  <si>
    <t xml:space="preserve">No hay acuerdo sobre las fechas de entrega de cargas y pedidos: aunque Planificación avise de que no llega a la fecha del cliente, no se cambia. Y eso que el pedido tiene dos fechas: la que pidió el cliente y otra para medir retrasos.</t>
  </si>
  <si>
    <t xml:space="preserve">Una sola revisión con una sola fuente de datos. Planificación confirma una fecha viable y Comercial la negocia con el cliente. Se usan las dos fechas del pedido: la solicitada para medir el servicio y la confirmada para planificar.</t>
  </si>
  <si>
    <t xml:space="preserve">Monica Gordillo y su equipo (Victoriano Perez envía el reporte de atrasos)</t>
  </si>
  <si>
    <t xml:space="preserve">Cada día, Monica y su equipo vinculan todas las cargas a sus pedidos. Planificación envía un reporte diario de cargas atrasadas.</t>
  </si>
  <si>
    <t xml:space="preserve">A veces se crean cargas por mucha más cantidad que la del pedido y con fechas de entrega imposibles de cumplir.</t>
  </si>
  <si>
    <t xml:space="preserve">Al crear la carga, validar que la cantidad no supere lo pendiente del pedido y que la fecha sea la confirmada. El reporte de atrasos pasa a ser un KPI diario con su causa.</t>
  </si>
  <si>
    <t xml:space="preserve">Sin pauta</t>
  </si>
  <si>
    <t xml:space="preserve">Comercial salda los pedidos. Da la sensación de que algunos, ya planificados, se saldan sin avisar a Planificación.</t>
  </si>
  <si>
    <t xml:space="preserve">Planificación puede seguir fabricando o reservando capacidad para pedidos que ya están cerrados.</t>
  </si>
  <si>
    <t xml:space="preserve">Saldado semanal con una regla común: Planificación propone qué pedidos saldar (completos o con un resto mínimo) y Comercial lo valida. Si se salda un pedido planificado, Planificación se entera en el momento.</t>
  </si>
  <si>
    <t xml:space="preserve">Comercial (Monica Gordillo, Manuel Jesus Trinidad) y Victoriano Perez; decide Manuel Castro si no hay acuerdo</t>
  </si>
  <si>
    <t xml:space="preserve">Bajo demanda (por teléfono)</t>
  </si>
  <si>
    <t xml:space="preserve">Cuando hay varios pedidos comprometidos, Comercial (Monica y su equipo, o incluso Manuel Jesus) llama a Planificación para buscar soluciones. Si no se ponen de acuerdo, llaman a Manuel Castro (director de planta) para que decida.</t>
  </si>
  <si>
    <t xml:space="preserve">No hay reglas de prioridad: se resuelve caso a caso por teléfono y acaba en el director de planta.</t>
  </si>
  <si>
    <t xml:space="preserve">Reglas de prioridad acordadas (tipo de cliente, fecha comprometida, margen y stock de seguridad) que aplica Planificación consultando a Comercial y Programación. Si afecta a otras plantas, decide S&amp;OP. Al director de planta solo se le informa.</t>
  </si>
  <si>
    <t xml:space="preserve">Victoriano Perez (Planificación) y Barbara Ayuste (Compras)</t>
  </si>
  <si>
    <t xml:space="preserve">SAP · MRP y transacción de faltas de materia prima y auxiliares</t>
  </si>
  <si>
    <t xml:space="preserve">Semanal</t>
  </si>
  <si>
    <t xml:space="preserve">Cada semana, Planificación y Compras analizan juntos el MRP. Tienen preparada en SAP una transacción que muestra las faltas de materias primas y auxiliares.</t>
  </si>
  <si>
    <t xml:space="preserve">No se han detectado problemas. Falta confirmar cómo se tratan las excepciones del MRP y quién lanza los pedidos de las faltas.</t>
  </si>
  <si>
    <t xml:space="preserve">Tomarlo como base del estándar del grupo: revisión semanal Planificación–Compras con la transacción de faltas, incluyendo materias primas y auxiliares (4.4) en la misma revisión.</t>
  </si>
  <si>
    <t xml:space="preserve">Baja</t>
  </si>
  <si>
    <t xml:space="preserve">GIO · pantalla de propuesta de fabricación (por material y pedido)</t>
  </si>
  <si>
    <t xml:space="preserve">En GIO hay una pantalla que da, por material (y por pedido en los MTO), una propuesta de fabricación. Victoriano la consulta cada día y la corrige si ve desviaciones del accuracy o si Comercial le llama.</t>
  </si>
  <si>
    <t xml:space="preserve">Las correcciones son manuales y dependen de la persona; los cambios de Comercial llegan por teléfono y no queda registro del motivo. Los errores de la previsión (2.4) acaban corrigiéndose aquí.</t>
  </si>
  <si>
    <t xml:space="preserve">Corregir la propuesta solo con un motivo registrado y con reglas comunes. Los cambios de Comercial entran por la previsión o la cartera, no por llamada, y el KPI de accuracy indica dónde mirar.</t>
  </si>
  <si>
    <t xml:space="preserve">GIO · pantalla de necesidades de semielaborado</t>
  </si>
  <si>
    <t xml:space="preserve">Una pantalla de GIO propone automáticamente las necesidades de semielaborado. Victoriano la revisa cada día con la misma lógica que el producto terminado.</t>
  </si>
  <si>
    <t xml:space="preserve">Igual que en 4.2: correcciones manuales sin registro que dependen de una sola persona.</t>
  </si>
  <si>
    <t xml:space="preserve">Mismas reglas de corrección que en 4.2. A medio plazo, que la revise el planificador de materiales para repartir la carga de Victoriano.</t>
  </si>
  <si>
    <t xml:space="preserve">Victoriano Perez y Barbara Ayuste (dentro de 4.1)</t>
  </si>
  <si>
    <t xml:space="preserve">SAP · transacción de faltas</t>
  </si>
  <si>
    <t xml:space="preserve">Se hace dentro de la revisión semanal del MRP (4.1).</t>
  </si>
  <si>
    <t xml:space="preserve">Fusionar 4.4 con 4.1 en el catálogo corporativo (lo propone el equipo en el E2E).</t>
  </si>
  <si>
    <t xml:space="preserve">Del E2E: está duplicado, debería ir incluido en 4.1.</t>
  </si>
  <si>
    <t xml:space="preserve">No aplica</t>
  </si>
  <si>
    <t xml:space="preserve">Ondupack Almendralejo</t>
  </si>
  <si>
    <t xml:space="preserve">Ondupack Navalmoral</t>
  </si>
  <si>
    <t xml:space="preserve">MGT</t>
  </si>
  <si>
    <t xml:space="preserve">PDA</t>
  </si>
  <si>
    <t xml:space="preserve">Papresa</t>
  </si>
  <si>
    <t xml:space="preserve">Actividades alineadas con el estándar / actividades aplicables</t>
  </si>
  <si>
    <t xml:space="preserve">Se calcula desde la hoja Notas.</t>
  </si>
  <si>
    <t xml:space="preserve">Total</t>
  </si>
  <si>
    <t xml:space="preserve">Descripción</t>
  </si>
  <si>
    <t xml:space="preserve">Frecuencia estándar</t>
  </si>
  <si>
    <t xml:space="preserve">Decide (A)</t>
  </si>
  <si>
    <t xml:space="preserve">Ejecuta (R)</t>
  </si>
  <si>
    <t xml:space="preserve">Definir, documentar y mantener cómo se ejecuta cada actividad en todas las plantas.</t>
  </si>
  <si>
    <t xml:space="preserve">Continua</t>
  </si>
  <si>
    <t xml:space="preserve">Director/a de Planificación</t>
  </si>
  <si>
    <t xml:space="preserve">Responsable de procesos (Functional Lead)</t>
  </si>
  <si>
    <t xml:space="preserve">MTS/MTO, stock de seguridad, horizonte congelado, prioridades, lotes, mínimos y máximos.</t>
  </si>
  <si>
    <t xml:space="preserve">Trimestral</t>
  </si>
  <si>
    <t xml:space="preserve">Revisión de demanda, de suministro y reunión ejecutiva para decidir capacidad y prioridades.</t>
  </si>
  <si>
    <t xml:space="preserve">Mensual</t>
  </si>
  <si>
    <t xml:space="preserve">Coordinador/a de S&amp;OP e intercompany</t>
  </si>
  <si>
    <t xml:space="preserve">Fijar objetivos por planta y revisar el cuadro de mando común.</t>
  </si>
  <si>
    <t xml:space="preserve">Asignar cada rol con nombre y apellidos, con titular y suplente, y su plan de formación.</t>
  </si>
  <si>
    <t xml:space="preserve">Canal único de peticiones, priorización y paso a producción de mejoras.</t>
  </si>
  <si>
    <t xml:space="preserve">Responsable de procesos (Functional Lead), Sistemas de planificación (Technical Lead y desarrollo)</t>
  </si>
  <si>
    <t xml:space="preserve">Altas y mantenimiento de los datos que usa la planificación (unidades, rutas, máquinas por defecto).</t>
  </si>
  <si>
    <t xml:space="preserve">Responsable de dato maestro</t>
  </si>
  <si>
    <t xml:space="preserve">Clasificar materiales y asignar su estrategia de planificación con criterio común.</t>
  </si>
  <si>
    <t xml:space="preserve">Mantener los estándares de máquina a partir de los datos reales registrados.</t>
  </si>
  <si>
    <t xml:space="preserve">Responsable de dato maestro, Programador/a de producción</t>
  </si>
  <si>
    <t xml:space="preserve">Turnos activos, días festivos y paradas de mantenimiento por máquina.</t>
  </si>
  <si>
    <t xml:space="preserve">Responsable de planificación de planta</t>
  </si>
  <si>
    <t xml:space="preserve">Programador/a de producción</t>
  </si>
  <si>
    <t xml:space="preserve">Detectar duplicados, datos incompletos e incoherencias y corregirlos.</t>
  </si>
  <si>
    <t xml:space="preserve">Generar y ajustar la previsión por material o familia.</t>
  </si>
  <si>
    <t xml:space="preserve">Planificador/a de demanda y cartera</t>
  </si>
  <si>
    <t xml:space="preserve">Revisar la previsión con Comercial y cerrar el plan de demanda.</t>
  </si>
  <si>
    <t xml:space="preserve">Registrar los pedidos que no entran por falta de stock, precio u otros motivos.</t>
  </si>
  <si>
    <t xml:space="preserve">Medir el error de la previsión y corregir sus causas.</t>
  </si>
  <si>
    <t xml:space="preserve">Pendiente, stock disponible y cargas de cada pedido.</t>
  </si>
  <si>
    <t xml:space="preserve">Asociar cada carga o expedición a su pedido.</t>
  </si>
  <si>
    <t xml:space="preserve">Logística / Expediciones</t>
  </si>
  <si>
    <t xml:space="preserve">Cerrar los pedidos completados o anulados.</t>
  </si>
  <si>
    <t xml:space="preserve">Decidir qué se sirve primero cuando no llega para todo; los conflictos entre plantas van a S&amp;OP.</t>
  </si>
  <si>
    <t xml:space="preserve">Lanzar el MRP y revisar sus propuestas y excepciones.</t>
  </si>
  <si>
    <t xml:space="preserve">Planificador/a de materiales</t>
  </si>
  <si>
    <t xml:space="preserve">Qué fabricar según previsión, cartera, stock y órdenes ya lanzadas (MTS y MTO).</t>
  </si>
  <si>
    <t xml:space="preserve">Bobina, lámina o cartón necesarios para el producto terminado planificado.</t>
  </si>
  <si>
    <t xml:space="preserve">Cálculo de necesidades y traslado a Compras.</t>
  </si>
  <si>
    <t xml:space="preserve">% de ocupación de cada máquina según lo lanzado y la previsión.</t>
  </si>
  <si>
    <t xml:space="preserve">Mover carga entre máquinas o plantas con antelación.</t>
  </si>
  <si>
    <t xml:space="preserve">Proyección de ocupación de almacén de semielaborado y producto terminado.</t>
  </si>
  <si>
    <t xml:space="preserve">Plan congelado de la semana, aprobado por la planta.</t>
  </si>
  <si>
    <t xml:space="preserve">Orden de fabricación que minimiza cambios (moldes, calidades, combinaciones).</t>
  </si>
  <si>
    <t xml:space="preserve">Liberar las órdenes a producción.</t>
  </si>
  <si>
    <t xml:space="preserve">Averías, faltas de material o urgencias.</t>
  </si>
  <si>
    <t xml:space="preserve">Proyección de cambios de molde, formato o calidad por máquina.</t>
  </si>
  <si>
    <t xml:space="preserve">Consulta de plazos sobre la capacidad real (CTP).</t>
  </si>
  <si>
    <t xml:space="preserve">Asignar el stock disponible a cada pedido por fechas.</t>
  </si>
  <si>
    <t xml:space="preserve">Detectar retrasos y avisar al cliente antes de que ocurran.</t>
  </si>
  <si>
    <t xml:space="preserve">Planificador/a de demanda y cartera, Comercial / Atención al cliente</t>
  </si>
  <si>
    <t xml:space="preserve">Que lo planificado salga en la fecha comprometida.</t>
  </si>
  <si>
    <t xml:space="preserve">Planificador/a de demanda y cartera, Logística / Expediciones</t>
  </si>
  <si>
    <t xml:space="preserve">Seguimiento de lo producido frente a lo planificado.</t>
  </si>
  <si>
    <t xml:space="preserve">Disponibilidad, rendimiento y calidad.</t>
  </si>
  <si>
    <t xml:space="preserve">Dirección de planta</t>
  </si>
  <si>
    <t xml:space="preserve">Producción (jefes de turno)</t>
  </si>
  <si>
    <t xml:space="preserve">Consumos reales frente a teóricos para detectar descuadres de stock.</t>
  </si>
  <si>
    <t xml:space="preserve">Analizar por qué no se cumplió el plan y corregir el origen.</t>
  </si>
  <si>
    <t xml:space="preserve">Tabla de correspondencia cartonera ↔ papelera y puntos de pedido.</t>
  </si>
  <si>
    <t xml:space="preserve">Responsable de dato maestro, Planificador/a de materiales</t>
  </si>
  <si>
    <t xml:space="preserve">Trigger de necesidad y pedidos de compra y venta mapeados.</t>
  </si>
  <si>
    <t xml:space="preserve">La papelera planifica contra stock y reserva el material para las cartoneras.</t>
  </si>
  <si>
    <t xml:space="preserve">Seguimiento de lo recibido de MGT, PDA y Papresa.</t>
  </si>
  <si>
    <t xml:space="preserve">Apertura y cierre controlado de pedidos entre plantas.</t>
  </si>
  <si>
    <t xml:space="preserve">Vista</t>
  </si>
  <si>
    <t xml:space="preserve">Nº</t>
  </si>
  <si>
    <t xml:space="preserve">Tipo</t>
  </si>
  <si>
    <t xml:space="preserve">Paso</t>
  </si>
  <si>
    <t xml:space="preserve">Responsable</t>
  </si>
  <si>
    <t xml:space="preserve">Sistema / herramienta</t>
  </si>
  <si>
    <t xml:space="preserve">Punto de dolor</t>
  </si>
  <si>
    <t xml:space="preserve">Siguiente</t>
  </si>
  <si>
    <t xml:space="preserve">As-is</t>
  </si>
  <si>
    <t xml:space="preserve">Inicio / fin</t>
  </si>
  <si>
    <t xml:space="preserve">Material nuevo</t>
  </si>
  <si>
    <t xml:space="preserve">→ 2</t>
  </si>
  <si>
    <t xml:space="preserve">Tarea</t>
  </si>
  <si>
    <t xml:space="preserve">Comercial detecta que hace falta un material nuevo</t>
  </si>
  <si>
    <t xml:space="preserve">→ 3</t>
  </si>
  <si>
    <t xml:space="preserve">Consulta a Calidad las características técnicas</t>
  </si>
  <si>
    <t xml:space="preserve">Monica Gordillo · Calidad</t>
  </si>
  <si>
    <t xml:space="preserve">→ 4</t>
  </si>
  <si>
    <t xml:space="preserve">Alta del material: molde, velocidad, tiempos de cambio y ruta por defecto</t>
  </si>
  <si>
    <t xml:space="preserve">Sí</t>
  </si>
  <si>
    <t xml:space="preserve">→ 5</t>
  </si>
  <si>
    <t xml:space="preserve">No se consulta a Planificación la estrategia (MTS/MTO, ABC) ni la ruta.</t>
  </si>
  <si>
    <t xml:space="preserve">Planificación planifica con el dato tal cual llega</t>
  </si>
  <si>
    <t xml:space="preserve">→ 6</t>
  </si>
  <si>
    <t xml:space="preserve">Decisión</t>
  </si>
  <si>
    <t xml:space="preserve">¿Aparece un duplicado?</t>
  </si>
  <si>
    <t xml:space="preserve">→ 8 (Sí); → 7 (No)</t>
  </si>
  <si>
    <t xml:space="preserve">Material en uso</t>
  </si>
  <si>
    <t xml:space="preserve">Corrección puntual con el campo «material reemplazante»</t>
  </si>
  <si>
    <t xml:space="preserve">Monica Gordillo y equipo</t>
  </si>
  <si>
    <t xml:space="preserve">→ 7</t>
  </si>
  <si>
    <t xml:space="preserve">No hay auditoría ni criterio de qué define un material: los duplicados aparecen por casualidad.</t>
  </si>
  <si>
    <t xml:space="preserve">Nota</t>
  </si>
  <si>
    <t xml:space="preserve">¿Se consulta a Producción y Mantenimiento la ruta por defecto? Duda abierta.</t>
  </si>
  <si>
    <t xml:space="preserve">Nadie revisa ABC ni estrategias (1.2) ni reequilibra las rutas con la carga del mes (1.3).</t>
  </si>
  <si>
    <t xml:space="preserve">Inicio de mes</t>
  </si>
  <si>
    <t xml:space="preserve">Comercial carga la previsión de cada material: mes en curso + 3</t>
  </si>
  <si>
    <t xml:space="preserve">No hay día límite para cerrar la previsión.</t>
  </si>
  <si>
    <t xml:space="preserve">Planificación calcula qué fabricar con la previsión, el stock y las órdenes lanzadas</t>
  </si>
  <si>
    <t xml:space="preserve">Genera los temporales para reservar tiempo de cada familia en el ciclo</t>
  </si>
  <si>
    <t xml:space="preserve">No se revisan con Comercial.</t>
  </si>
  <si>
    <t xml:space="preserve">Comercial cambia la previsión del mes en curso sin consultar a Planificación</t>
  </si>
  <si>
    <t xml:space="preserve">A veces con el material ya fabricado.</t>
  </si>
  <si>
    <t xml:space="preserve">Registro de agotados irregular: épocas con muchos y meses sin ninguno</t>
  </si>
  <si>
    <t xml:space="preserve">Reunión mensual de accuracy</t>
  </si>
  <si>
    <t xml:space="preserve">Manuel Jesus Trinidad · Victoriano Perez</t>
  </si>
  <si>
    <t xml:space="preserve">→ 8</t>
  </si>
  <si>
    <t xml:space="preserve">Comercial no se implica y Planificación no la impulsa.</t>
  </si>
  <si>
    <t xml:space="preserve">Fin de mes sin acciones</t>
  </si>
  <si>
    <t xml:space="preserve">No hay consenso con Comercial (2.2): Planificación fabrica lo que diga la previsión.</t>
  </si>
  <si>
    <t xml:space="preserve">Inicio del día</t>
  </si>
  <si>
    <t xml:space="preserve">→ 2; → 3</t>
  </si>
  <si>
    <t xml:space="preserve">Comercial revisa cartera, stock y cargas</t>
  </si>
  <si>
    <t xml:space="preserve">SAP</t>
  </si>
  <si>
    <t xml:space="preserve">Planificación revisa por su cuenta cartera, stock y cargas</t>
  </si>
  <si>
    <t xml:space="preserve">Puesta en común en la reunión de producción</t>
  </si>
  <si>
    <t xml:space="preserve">Comercial · Planificación · Producción</t>
  </si>
  <si>
    <t xml:space="preserve">Fechas sin consenso: se mantiene la del cliente aunque no se llegue</t>
  </si>
  <si>
    <t xml:space="preserve">Comercial</t>
  </si>
  <si>
    <t xml:space="preserve">El pedido tiene dos fechas (la del cliente y otra para medir retrasos), pero no se usan.</t>
  </si>
  <si>
    <t xml:space="preserve">Comercial vincula a diario las cargas a los pedidos</t>
  </si>
  <si>
    <t xml:space="preserve">A veces se crean cargas por mucha más cantidad que el pedido y con fechas imposibles.</t>
  </si>
  <si>
    <t xml:space="preserve">Planificación envía el reporte diario de cargas atrasadas</t>
  </si>
  <si>
    <t xml:space="preserve">¿Pedidos en conflicto?</t>
  </si>
  <si>
    <t xml:space="preserve">→ 9 (No); → 10 (Sí)</t>
  </si>
  <si>
    <t xml:space="preserve">Fin del día</t>
  </si>
  <si>
    <t xml:space="preserve">Comercial llama a Planificación para buscar una solución</t>
  </si>
  <si>
    <t xml:space="preserve">Monica Gordillo · Manuel Jesus Trinidad</t>
  </si>
  <si>
    <t xml:space="preserve">→ 11</t>
  </si>
  <si>
    <t xml:space="preserve">¿Hay acuerdo?</t>
  </si>
  <si>
    <t xml:space="preserve">→ 12 (Sí); → 13 (No)</t>
  </si>
  <si>
    <t xml:space="preserve">Prioridad resuelta</t>
  </si>
  <si>
    <t xml:space="preserve">Decide el director de planta</t>
  </si>
  <si>
    <t xml:space="preserve">Manuel Castro</t>
  </si>
  <si>
    <t xml:space="preserve">→ 12</t>
  </si>
  <si>
    <t xml:space="preserve">No hay reglas de prioridad.</t>
  </si>
  <si>
    <t xml:space="preserve">Comercial salda pedidos, algunos ya planificados, sin avisar a Planificación</t>
  </si>
  <si>
    <t xml:space="preserve">Inicio de semana</t>
  </si>
  <si>
    <t xml:space="preserve">Ejecución del MRP</t>
  </si>
  <si>
    <t xml:space="preserve">Planificación y Compras revisan el MRP y las faltas de MP y auxiliares</t>
  </si>
  <si>
    <t xml:space="preserve">Victoriano Perez · Barbara Ayuste</t>
  </si>
  <si>
    <t xml:space="preserve">Compras gestiona las necesidades de materias primas y auxiliares</t>
  </si>
  <si>
    <t xml:space="preserve">Barbara Ayuste</t>
  </si>
  <si>
    <t xml:space="preserve">Cada día</t>
  </si>
  <si>
    <t xml:space="preserve">GIO propone la fabricación de producto terminado (por material y pedido en MTO)</t>
  </si>
  <si>
    <t xml:space="preserve">Planificación revisa y corrige la propuesta</t>
  </si>
  <si>
    <t xml:space="preserve">Corrige por desviaciones del accuracy que detecta él o por llamadas de Comercial; no queda registro del motivo.</t>
  </si>
  <si>
    <t xml:space="preserve">GIO propone las necesidades de semielaborado</t>
  </si>
  <si>
    <t xml:space="preserve">→ 9</t>
  </si>
  <si>
    <t xml:space="preserve">Planificación las revisa con la misma lógica</t>
  </si>
  <si>
    <t xml:space="preserve">→ 10</t>
  </si>
  <si>
    <t xml:space="preserve">Depende de una sola persona.</t>
  </si>
  <si>
    <t xml:space="preserve">Propuesta revisada</t>
  </si>
  <si>
    <t xml:space="preserve">4.4 duplica a 4.1: se propone fusionarlas.</t>
  </si>
  <si>
    <t xml:space="preserve">Comercial llama para pedir cambios en la propuesta.</t>
  </si>
  <si>
    <t xml:space="preserve">→ 7 (llamadas)</t>
  </si>
  <si>
    <t xml:space="preserve">To-be</t>
  </si>
  <si>
    <t xml:space="preserve">Solicitud de material</t>
  </si>
  <si>
    <t xml:space="preserve">Comercial solicita el alta con los datos del cliente</t>
  </si>
  <si>
    <t xml:space="preserve">Calidad fija las características técnicas</t>
  </si>
  <si>
    <t xml:space="preserve">Calidad</t>
  </si>
  <si>
    <t xml:space="preserve">Dato maestro asigna estrategia MTS/MTO y ABC/XYZ con el criterio común</t>
  </si>
  <si>
    <t xml:space="preserve">Dato maestro · consulta a Resp. planif. planta</t>
  </si>
  <si>
    <t xml:space="preserve">Programación y Producción validan ruta, velocidad y tiempos de cambio</t>
  </si>
  <si>
    <t xml:space="preserve">Programación · Producción</t>
  </si>
  <si>
    <t xml:space="preserve">¿Ficha completa y sin duplicados?</t>
  </si>
  <si>
    <t xml:space="preserve">→ 7 (Sí); → 8 (No)</t>
  </si>
  <si>
    <t xml:space="preserve">Alta en GIO con la plantilla única</t>
  </si>
  <si>
    <t xml:space="preserve">Completar la ficha o reutilizar el material existente («material reemplazante»)</t>
  </si>
  <si>
    <t xml:space="preserve">Listo para planificar</t>
  </si>
  <si>
    <t xml:space="preserve">Cierre de mes</t>
  </si>
  <si>
    <t xml:space="preserve">Reequilibrar las rutas por defecto con la carga del mes</t>
  </si>
  <si>
    <t xml:space="preserve">Auditoría del dato: duplicados, incompletos e incoherencias</t>
  </si>
  <si>
    <t xml:space="preserve">→ 13</t>
  </si>
  <si>
    <t xml:space="preserve">¿Cierre de trimestre?</t>
  </si>
  <si>
    <t xml:space="preserve">→ 15 (Sí); → 14 (No)</t>
  </si>
  <si>
    <t xml:space="preserve">Datos al día</t>
  </si>
  <si>
    <t xml:space="preserve">Revisión de ABC/XYZ y estrategias con la transacción automática</t>
  </si>
  <si>
    <t xml:space="preserve">Dato maestro · Resp. planif. planta · Comercial</t>
  </si>
  <si>
    <t xml:space="preserve">→ 14</t>
  </si>
  <si>
    <t xml:space="preserve">Inicio del ciclo mensual</t>
  </si>
  <si>
    <t xml:space="preserve">Planificación propone la previsión estadística</t>
  </si>
  <si>
    <t xml:space="preserve">Demanda y cartera</t>
  </si>
  <si>
    <t xml:space="preserve">Comercial ajusta la previsión antes del día de cierre</t>
  </si>
  <si>
    <t xml:space="preserve">Reunión de consenso: previsión, temporales y desviaciones</t>
  </si>
  <si>
    <t xml:space="preserve">Demanda y cartera · Comercial · S&amp;OP</t>
  </si>
  <si>
    <t xml:space="preserve">→ 6 (Sí); → 7 (No)</t>
  </si>
  <si>
    <t xml:space="preserve">Cierre de la previsión: el mes en curso queda congelado</t>
  </si>
  <si>
    <t xml:space="preserve">Resp. planif. planta</t>
  </si>
  <si>
    <t xml:space="preserve">S&amp;OP resuelve la discrepancia</t>
  </si>
  <si>
    <t xml:space="preserve">S&amp;OP</t>
  </si>
  <si>
    <t xml:space="preserve">Revisión de temporales por familia con la previsión cerrada</t>
  </si>
  <si>
    <t xml:space="preserve">Demanda cerrada</t>
  </si>
  <si>
    <t xml:space="preserve">Registro diario de agotados con motivo codificado</t>
  </si>
  <si>
    <t xml:space="preserve">Demanda y cartera · Comercial</t>
  </si>
  <si>
    <t xml:space="preserve">→ 2 (alimenta)</t>
  </si>
  <si>
    <t xml:space="preserve">KPI de precisión y sesgo con acción para cada desviación</t>
  </si>
  <si>
    <t xml:space="preserve">→ 4 (se revisa aquí)</t>
  </si>
  <si>
    <t xml:space="preserve">Cambios en el mes congelado: solo con la aprobación de Planificación.</t>
  </si>
  <si>
    <t xml:space="preserve">Revisión única de cartera, stock y cargas con una sola fuente</t>
  </si>
  <si>
    <t xml:space="preserve">SAP / GIO</t>
  </si>
  <si>
    <t xml:space="preserve">Planificación propone una fecha viable según capacidad y stock</t>
  </si>
  <si>
    <t xml:space="preserve">¿Llega a la fecha del cliente?</t>
  </si>
  <si>
    <t xml:space="preserve">→ 5 (Sí); → 6 (No)</t>
  </si>
  <si>
    <t xml:space="preserve">Se registran las dos fechas: solicitada (servicio) y confirmada (plan)</t>
  </si>
  <si>
    <t xml:space="preserve">Comercial negocia una nueva fecha con el cliente</t>
  </si>
  <si>
    <t xml:space="preserve">Logística vincula las cargas: cantidad ≤ pendiente y fecha confirmada</t>
  </si>
  <si>
    <t xml:space="preserve">Logística</t>
  </si>
  <si>
    <t xml:space="preserve">→ 9 (Sí); → 10 (No)</t>
  </si>
  <si>
    <t xml:space="preserve">Planificación aplica las reglas de prioridad acordadas</t>
  </si>
  <si>
    <t xml:space="preserve">Resp. planif. planta · consulta a Comercial y Programación</t>
  </si>
  <si>
    <t xml:space="preserve">¿Afecta a otras plantas?</t>
  </si>
  <si>
    <t xml:space="preserve">→ 12 (No); → 13 (Sí)</t>
  </si>
  <si>
    <t xml:space="preserve">Se informa a Comercial, Programación y Dirección de planta</t>
  </si>
  <si>
    <t xml:space="preserve">Decide S&amp;OP</t>
  </si>
  <si>
    <t xml:space="preserve">Cierre semanal</t>
  </si>
  <si>
    <t xml:space="preserve">→ 16</t>
  </si>
  <si>
    <t xml:space="preserve">Planificación propone los pedidos a saldar con la regla común</t>
  </si>
  <si>
    <t xml:space="preserve">→ 17</t>
  </si>
  <si>
    <t xml:space="preserve">Comercial valida y se saldan; Planificación queda avisada</t>
  </si>
  <si>
    <t xml:space="preserve">→ 18</t>
  </si>
  <si>
    <t xml:space="preserve">Cartera limpia</t>
  </si>
  <si>
    <t xml:space="preserve">MRP con la previsión consensuada y el mes congelado</t>
  </si>
  <si>
    <t xml:space="preserve">Materiales</t>
  </si>
  <si>
    <t xml:space="preserve">Revisión semanal de excepciones y faltas de materias primas y auxiliares</t>
  </si>
  <si>
    <t xml:space="preserve">Materiales · Compras</t>
  </si>
  <si>
    <t xml:space="preserve">¿Faltas sin cubrir?</t>
  </si>
  <si>
    <t xml:space="preserve">→ 5 (No); → 6 (Sí)</t>
  </si>
  <si>
    <t xml:space="preserve">Materiales cubiertos</t>
  </si>
  <si>
    <t xml:space="preserve">Compras acelera o busca alternativa e informa a Programación</t>
  </si>
  <si>
    <t xml:space="preserve">Compras</t>
  </si>
  <si>
    <t xml:space="preserve">GIO propone la fabricación de producto terminado (MTO y MTS)</t>
  </si>
  <si>
    <t xml:space="preserve">Revisión con reglas comunes: solo se corrige con un motivo registrado</t>
  </si>
  <si>
    <t xml:space="preserve">Necesidades de semielaborado ajustadas a la propuesta validada</t>
  </si>
  <si>
    <t xml:space="preserve">Plan propuesto a Programación</t>
  </si>
  <si>
    <t xml:space="preserve">Incluye materias primas y auxiliares: 4.4 se integra en 4.1.</t>
  </si>
  <si>
    <t xml:space="preserve">Los cambios de Comercial entran por la previsión o la cartera, no por llamada.</t>
  </si>
  <si>
    <t xml:space="preserve">Matriz RACI</t>
  </si>
  <si>
    <t xml:space="preserve">CORPORATIVO</t>
  </si>
  <si>
    <t xml:space="preserve">PLANTA</t>
  </si>
  <si>
    <t xml:space="preserve">Dir. Planificación</t>
  </si>
  <si>
    <t xml:space="preserve">Resp. procesos</t>
  </si>
  <si>
    <t xml:space="preserve">S&amp;OP / Intercompany</t>
  </si>
  <si>
    <t xml:space="preserve">Sistemas</t>
  </si>
  <si>
    <t xml:space="preserve">Dir. planta</t>
  </si>
  <si>
    <t xml:space="preserve">Producción</t>
  </si>
  <si>
    <t xml:space="preserve">Revisión</t>
  </si>
  <si>
    <t xml:space="preserve">A = decide y responde (una por fila) · R = ejecuta · A/R = decide y ejecuta · C = se le consulta · I = se le informa. La columna «Revisión» se recalcula sola.</t>
  </si>
  <si>
    <t xml:space="preserve">RACI as-is · cómo se hace hoy en cada empresa</t>
  </si>
  <si>
    <t xml:space="preserve">Dif. con to-be</t>
  </si>
  <si>
    <t xml:space="preserve">«Dif. con to-be» cuenta las celdas de la fila que no coinciden con la hoja RACI (estándar corporativo).</t>
  </si>
  <si>
    <t xml:space="preserve">Rol</t>
  </si>
  <si>
    <t xml:space="preserve">Nombre corto</t>
  </si>
  <si>
    <t xml:space="preserve">Ámbito</t>
  </si>
  <si>
    <t xml:space="preserve">Misión</t>
  </si>
  <si>
    <t xml:space="preserve">Responsabilidades</t>
  </si>
  <si>
    <t xml:space="preserve">Qué decide</t>
  </si>
  <si>
    <t xml:space="preserve">Corporativo</t>
  </si>
  <si>
    <t xml:space="preserve">Dueño del modelo de planificación del grupo: define cómo se planifica, quién lo hace y con qué objetivos.</t>
  </si>
  <si>
    <t xml:space="preserve">Aprobar procesos, políticas y roles · Fijar objetivos y KPIs por planta · Presidir el S&amp;OP del grupo · Asignar personas y suplencias · Priorizar mejoras y desarrollos.</t>
  </si>
  <si>
    <t xml:space="preserve">Políticas, estructura de roles, asignación de personas, objetivos y prioridades de desarrollo.</t>
  </si>
  <si>
    <t xml:space="preserve">OTIF del grupo · Madurez de procesos · % integración intercompany.</t>
  </si>
  <si>
    <t xml:space="preserve">Diseña, documenta y mantiene los procedimientos estándar y vela por que cada planta los cumpla.</t>
  </si>
  <si>
    <t xml:space="preserve">Manual de planificación · Auditorías de madurez · Formación y certificación de planificadores · Interlocución con las plantas.</t>
  </si>
  <si>
    <t xml:space="preserve">Cómo se ejecuta cada actividad; aprueba las excepciones locales al estándar.</t>
  </si>
  <si>
    <t xml:space="preserve">Madurez de procesos · Adherencia al plan.</t>
  </si>
  <si>
    <t xml:space="preserve">Integra demanda y suministro del grupo y coordina los flujos de papel hacia las cartoneras.</t>
  </si>
  <si>
    <t xml:space="preserve">Preparar y conducir el S&amp;OP mensual · Balanceo de carga entre plantas · Mínimos y máximos intercompany · Seguimiento del % de integración.</t>
  </si>
  <si>
    <t xml:space="preserve">Reparto de capacidad entre plantas dentro de las políticas; escalados intercompany.</t>
  </si>
  <si>
    <t xml:space="preserve">Precisión de la previsión · % integración intercompany · OTIF del grupo.</t>
  </si>
  <si>
    <t xml:space="preserve">Sistemas de planificación (Technical Lead y desarrollo)</t>
  </si>
  <si>
    <t xml:space="preserve">Construye y mantiene las herramientas de planificación comunes a todas las plantas (SAP, GIO, SIGPA).</t>
  </si>
  <si>
    <t xml:space="preserve">Desarrollos y mejoras · Despliegues controlados · Soporte de segundo nivel · Documentación técnica.</t>
  </si>
  <si>
    <t xml:space="preserve">Arquitectura técnica y pasos a producción.</t>
  </si>
  <si>
    <t xml:space="preserve">Plazo de entrega de mejoras · Incidencias resueltas en plazo.</t>
  </si>
  <si>
    <t xml:space="preserve">Planta</t>
  </si>
  <si>
    <t xml:space="preserve">Dirige la operación de la planta y apoya la ejecución del plan.</t>
  </si>
  <si>
    <t xml:space="preserve">Recursos de producción · Conflictos operativos · OEE.</t>
  </si>
  <si>
    <t xml:space="preserve">Recursos operativos de la planta.</t>
  </si>
  <si>
    <t xml:space="preserve">OEE · Coste de producción.</t>
  </si>
  <si>
    <t xml:space="preserve">Garantiza que el dato de planificación es único, completo y fiable en todas las plantas.</t>
  </si>
  <si>
    <t xml:space="preserve">Altas y cambios de datos de planificación · Velocidades, tiempos de cambio y estrategias · Auditoría de calidad del dato · Mapeo de materiales intercompany.</t>
  </si>
  <si>
    <t xml:space="preserve">Aprobación de cualquier cambio en el dato maestro de planificación.</t>
  </si>
  <si>
    <t xml:space="preserve">Calidad del dato maestro.</t>
  </si>
  <si>
    <t xml:space="preserve">Responde del plan de la planta y de que se ejecute según el estándar corporativo.</t>
  </si>
  <si>
    <t xml:space="preserve">Aprobar el plan semanal · Resolver conflictos de prioridad · Representar a la planta en el S&amp;OP · Coordinar al equipo de planificación de la planta.</t>
  </si>
  <si>
    <t xml:space="preserve">Plan semanal y prioridades dentro de las políticas; escala lo que las supera.</t>
  </si>
  <si>
    <t xml:space="preserve">OTIF · Adherencia y estabilidad del plan.</t>
  </si>
  <si>
    <t xml:space="preserve">Convierte previsión y pedidos en necesidades de fabricación y compromete fechas fiables.</t>
  </si>
  <si>
    <t xml:space="preserve">Previsión y demanda perdida · Cartera diaria y cierre de pedidos · Propuesta de fabricación · Fechas al cliente y reservas de stock.</t>
  </si>
  <si>
    <t xml:space="preserve">Fecha comprometida dentro del plan y propuesta de fabricación.</t>
  </si>
  <si>
    <t xml:space="preserve">Precisión de la previsión · Salud de la cartera · OTIF.</t>
  </si>
  <si>
    <t xml:space="preserve">Secuencia la producción para cumplir el plan con el menor coste de cambios.</t>
  </si>
  <si>
    <t xml:space="preserve">Plan semanal y secuencia (ciclos, combinación) · Lanzamiento de órdenes · Replanificación ante incidencias · Carga de capacidad.</t>
  </si>
  <si>
    <t xml:space="preserve">Secuencia y lanzamiento dentro del horizonte congelado.</t>
  </si>
  <si>
    <t xml:space="preserve">Adherencia al plan · Horas de cambio · Saturación por línea.</t>
  </si>
  <si>
    <t xml:space="preserve">Responsable Producción</t>
  </si>
  <si>
    <t xml:space="preserve">Ejecuta el plan en máquina e informa de lo real.</t>
  </si>
  <si>
    <t xml:space="preserve">Cumplir la secuencia · Registrar producción, paradas y consumos · Avisar de incidencias.</t>
  </si>
  <si>
    <t xml:space="preserve">Ajustes operativos dentro del turno</t>
  </si>
  <si>
    <t xml:space="preserve">OEE · Adherencia al plan.</t>
  </si>
  <si>
    <t xml:space="preserve">Ajustes operativos dentro del turno.</t>
  </si>
  <si>
    <t xml:space="preserve">Gestiona proveedores externos y el aprovisionamiento intercompany.</t>
  </si>
  <si>
    <t xml:space="preserve">Pedidos de compra · Seguimiento de proveedores.</t>
  </si>
  <si>
    <t xml:space="preserve">Proveedor y condiciones.</t>
  </si>
  <si>
    <t xml:space="preserve">Plazo y fiabilidad de suministro.</t>
  </si>
  <si>
    <t xml:space="preserve">Asegura que papel y materias primas llegan a tiempo y en la cantidad necesaria.</t>
  </si>
  <si>
    <t xml:space="preserve">MRP · Necesidades de semielaborado y materias primas · Flujo intercompany y recepciones · Balance de masas.</t>
  </si>
  <si>
    <t xml:space="preserve">Propuestas de aprovisionamiento dentro de las políticas.</t>
  </si>
  <si>
    <t xml:space="preserve">Cobertura de stock · Roturas · % integración intercompany.</t>
  </si>
  <si>
    <t xml:space="preserve">Comercial / Atención al cliente</t>
  </si>
  <si>
    <t xml:space="preserve">Aporta la visión de mercado y es la voz del cliente.</t>
  </si>
  <si>
    <t xml:space="preserve">Información de demanda · Comunicación de fechas y retrasos al cliente.</t>
  </si>
  <si>
    <t xml:space="preserve">Prioridad comercial dentro de las reglas acordadas.</t>
  </si>
  <si>
    <t xml:space="preserve">Servicio al cliente.</t>
  </si>
  <si>
    <t xml:space="preserve">Expide los pedidos y gestiona los almacenes.</t>
  </si>
  <si>
    <t xml:space="preserve">Cargas vinculadas a pedido · Saturación de almacén.</t>
  </si>
  <si>
    <t xml:space="preserve">Organización de cargas.</t>
  </si>
  <si>
    <t xml:space="preserve">Expediciones en fecha.</t>
  </si>
  <si>
    <t xml:space="preserve">Titular</t>
  </si>
  <si>
    <t xml:space="preserve">Suplente</t>
  </si>
  <si>
    <t xml:space="preserve">Puesto actual</t>
  </si>
  <si>
    <t xml:space="preserve">% dedicación</t>
  </si>
  <si>
    <t xml:space="preserve">Email</t>
  </si>
  <si>
    <t xml:space="preserve">Enrique Tejada</t>
  </si>
  <si>
    <t xml:space="preserve">100 %</t>
  </si>
  <si>
    <t xml:space="preserve">Manuel Rodriguez</t>
  </si>
  <si>
    <t xml:space="preserve">Daniel Leal</t>
  </si>
  <si>
    <t xml:space="preserve">Jesus Amigo </t>
  </si>
  <si>
    <t xml:space="preserve">Fernando Tolosa</t>
  </si>
  <si>
    <t xml:space="preserve">30 %</t>
  </si>
  <si>
    <t xml:space="preserve">10 %</t>
  </si>
  <si>
    <t xml:space="preserve">Antonio Nogales</t>
  </si>
  <si>
    <t xml:space="preserve">50 %</t>
  </si>
  <si>
    <t xml:space="preserve">Vicente Hernandez</t>
  </si>
  <si>
    <t xml:space="preserve">Juan Trigo</t>
  </si>
  <si>
    <t xml:space="preserve">20 %</t>
  </si>
  <si>
    <t xml:space="preserve">Juan Manuel Barroso</t>
  </si>
  <si>
    <t xml:space="preserve">Jefes Turno</t>
  </si>
  <si>
    <t xml:space="preserve">En amarillo, los huecos por asignar (titular o suplente).</t>
  </si>
  <si>
    <t xml:space="preserve">Nivel</t>
  </si>
  <si>
    <t xml:space="preserve">Puesto</t>
  </si>
  <si>
    <t xml:space="preserve">Persona</t>
  </si>
  <si>
    <t xml:space="preserve">Área</t>
  </si>
  <si>
    <t xml:space="preserve">Rol del modelo</t>
  </si>
  <si>
    <t xml:space="preserve">De otra empresa</t>
  </si>
  <si>
    <t xml:space="preserve">Depende de</t>
  </si>
  <si>
    <t xml:space="preserve">Dependencia funcional de</t>
  </si>
  <si>
    <t xml:space="preserve">% planificación</t>
  </si>
  <si>
    <t xml:space="preserve">Responsable Planificacion</t>
  </si>
  <si>
    <t xml:space="preserve">Planificación</t>
  </si>
  <si>
    <t xml:space="preserve">      Responsable Técnico</t>
  </si>
  <si>
    <t xml:space="preserve">Responsable Planificacion · Enrique Tejada</t>
  </si>
  <si>
    <t xml:space="preserve">      Responsable Procesos</t>
  </si>
  <si>
    <t xml:space="preserve">Manuel Rodríguez</t>
  </si>
  <si>
    <t xml:space="preserve">            Programador .NET</t>
  </si>
  <si>
    <t xml:space="preserve">Jesus Amigo</t>
  </si>
  <si>
    <t xml:space="preserve">Responsable Procesos · Manuel Rodríguez</t>
  </si>
  <si>
    <t xml:space="preserve">Vicente Hernández</t>
  </si>
  <si>
    <t xml:space="preserve">            Nuevo puesto</t>
  </si>
  <si>
    <t xml:space="preserve">Vacante</t>
  </si>
  <si>
    <t xml:space="preserve">Dirección General</t>
  </si>
  <si>
    <t xml:space="preserve">Dirección</t>
  </si>
  <si>
    <t xml:space="preserve">      Director/a de Planificación</t>
  </si>
  <si>
    <t xml:space="preserve">            Responsable de procesos (Functional Lead)</t>
  </si>
  <si>
    <t xml:space="preserve">            Responsable de dato maestro</t>
  </si>
  <si>
    <t xml:space="preserve">            Coordinador/a de S&amp;OP e intercompany</t>
  </si>
  <si>
    <t xml:space="preserve">            Technical Lead</t>
  </si>
  <si>
    <t xml:space="preserve">                  Solution Developer</t>
  </si>
  <si>
    <t xml:space="preserve">Technical Lead</t>
  </si>
  <si>
    <t xml:space="preserve">            Responsables de planificación de planta</t>
  </si>
  <si>
    <t xml:space="preserve">Uno por planta; ver el organigrama de cada empresa.</t>
  </si>
  <si>
    <t xml:space="preserve">Responsable Division</t>
  </si>
  <si>
    <t xml:space="preserve">      Director Planta</t>
  </si>
  <si>
    <t xml:space="preserve">Responsable Division · Fernando Tolosa</t>
  </si>
  <si>
    <t xml:space="preserve">            Responsable Planificación</t>
  </si>
  <si>
    <t xml:space="preserve">Director Planta · Manuel Castro</t>
  </si>
  <si>
    <t xml:space="preserve">            Responsable Comercial</t>
  </si>
  <si>
    <t xml:space="preserve">                  Comercial / Logística Externa</t>
  </si>
  <si>
    <t xml:space="preserve">Responsable Comercial · Manuel Jesus Trinidad</t>
  </si>
  <si>
    <t xml:space="preserve">            Responsable Compras</t>
  </si>
  <si>
    <t xml:space="preserve">                  Gestor Compras</t>
  </si>
  <si>
    <t xml:space="preserve">Responsable Compras · Antonio Nogales</t>
  </si>
  <si>
    <t xml:space="preserve">            Responsable Produccion</t>
  </si>
  <si>
    <t xml:space="preserve">                  Jefes Turno</t>
  </si>
  <si>
    <t xml:space="preserve">Responsable Produccion · Juan Manuel Barroso</t>
  </si>
  <si>
    <t xml:space="preserve">Corporativo.</t>
  </si>
  <si>
    <t xml:space="preserve">      Responsable de planificación de planta</t>
  </si>
  <si>
    <t xml:space="preserve">Dependencia jerárquica de corporativo y funcional de la dirección de planta (opción A, pendiente de decisión).</t>
  </si>
  <si>
    <t xml:space="preserve">            Planificador/a de demanda y cartera</t>
  </si>
  <si>
    <t xml:space="preserve">            Programador/a de producción</t>
  </si>
  <si>
    <t xml:space="preserve">            Planificador/a de materiales</t>
  </si>
  <si>
    <t xml:space="preserve">Empresa / planta</t>
  </si>
  <si>
    <t xml:space="preserve">ERP</t>
  </si>
  <si>
    <t xml:space="preserve">Herramienta de planificación</t>
  </si>
  <si>
    <t xml:space="preserve">Director/a de planta</t>
  </si>
  <si>
    <t xml:space="preserve">Responsable de planificación hoy</t>
  </si>
  <si>
    <t xml:space="preserve">Nº personas planificando</t>
  </si>
  <si>
    <t xml:space="preserve">Particularidades</t>
  </si>
  <si>
    <t xml:space="preserve">SAP · GIO · SIGPA </t>
  </si>
  <si>
    <t xml:space="preserve">Define el modelo y gobierna la planificación de todas las plantas.</t>
  </si>
  <si>
    <t xml:space="preserve">PET · extrusión y termoformado</t>
  </si>
  <si>
    <t xml:space="preserve">GIO (escritorio; migración a web propuesta para 2027)</t>
  </si>
  <si>
    <t xml:space="preserve">Ciclos por molde (termoformado) y por calidad (extrusión); MRP en SAP integrado con GIO.</t>
  </si>
  <si>
    <t xml:space="preserve">Cartón ondulado · onduladora y converting</t>
  </si>
  <si>
    <t xml:space="preserve">GIO Aplicación de escritorio (migración a web propuesta para 2027)</t>
  </si>
  <si>
    <t xml:space="preserve">Combiplan para combinar pedidos; consume papel intercompany.</t>
  </si>
  <si>
    <t xml:space="preserve">Consume papel intercompany.</t>
  </si>
  <si>
    <t xml:space="preserve">Papelera</t>
  </si>
  <si>
    <t xml:space="preserve">SIGPA (web)</t>
  </si>
  <si>
    <t xml:space="preserve">Algoritmo de combinación en SIGPA en pruebas; suministra papel a Ondupack.</t>
  </si>
  <si>
    <t xml:space="preserve">Suministra papel a Ondupack.</t>
  </si>
  <si>
    <t xml:space="preserve">Papelera · nueva incorporación</t>
  </si>
  <si>
    <t xml:space="preserve">ERP propio · SAP previsto 01/01/2027</t>
  </si>
  <si>
    <t xml:space="preserve">Por confirmar</t>
  </si>
  <si>
    <t xml:space="preserve">Trazabilidad compra-venta en un HTML conectado a los distintos ERP hasta su paso a SAP.</t>
  </si>
  <si>
    <t xml:space="preserve">Política</t>
  </si>
  <si>
    <t xml:space="preserve">Estándar corporativo</t>
  </si>
  <si>
    <t xml:space="preserve">Parámetros por planta</t>
  </si>
  <si>
    <t xml:space="preserve">Estado</t>
  </si>
  <si>
    <t xml:space="preserve">Segmentación ABC/XYZ</t>
  </si>
  <si>
    <t xml:space="preserve">Volumen (ABC) y variabilidad (XYZ) con el mismo criterio en todas las plantas; recálculo trimestral.</t>
  </si>
  <si>
    <t xml:space="preserve">Umbrales de cada planta</t>
  </si>
  <si>
    <t xml:space="preserve">Estrategia MTS/MTO</t>
  </si>
  <si>
    <t xml:space="preserve">Regla común por segmento para decidir qué se fabrica contra stock y qué contra pedido; las excepciones las aprueba corporativo.</t>
  </si>
  <si>
    <t xml:space="preserve">Excepciones por planta</t>
  </si>
  <si>
    <t xml:space="preserve">Stock de seguridad y cobertura</t>
  </si>
  <si>
    <t xml:space="preserve">Cobertura objetivo en días por segmento, revisada en el S&amp;OP.</t>
  </si>
  <si>
    <t xml:space="preserve">Días de cobertura por segmento</t>
  </si>
  <si>
    <t xml:space="preserve">Horizonte congelado</t>
  </si>
  <si>
    <t xml:space="preserve">Ventana en la que el plan no se cambia sin aprobación del responsable de planta.</t>
  </si>
  <si>
    <t xml:space="preserve">Días por tipo de planta</t>
  </si>
  <si>
    <t xml:space="preserve">Prioridad de pedidos</t>
  </si>
  <si>
    <t xml:space="preserve">Orden común: fecha comprometida, cliente estratégico, antigüedad. Los conflictos entre plantas se deciden en el S&amp;OP.</t>
  </si>
  <si>
    <t xml:space="preserve">Mínimos y máximos intercompany</t>
  </si>
  <si>
    <t xml:space="preserve">Los propone la cartonera, los valida S&amp;OP y se revisan cada mes.</t>
  </si>
  <si>
    <t xml:space="preserve">Por referencia</t>
  </si>
  <si>
    <t xml:space="preserve">Lote mínimo de fabricación</t>
  </si>
  <si>
    <t xml:space="preserve">Lote mínimo por familia según el coste del cambio.</t>
  </si>
  <si>
    <t xml:space="preserve">Por familia y máquina</t>
  </si>
  <si>
    <t xml:space="preserve">Nivel de servicio objetivo</t>
  </si>
  <si>
    <t xml:space="preserve">OTIF objetivo por segmento de cliente o material.</t>
  </si>
  <si>
    <t xml:space="preserve">Objetivo por planta</t>
  </si>
  <si>
    <t xml:space="preserve">Reglas de secuenciación</t>
  </si>
  <si>
    <t xml:space="preserve">Ciclos por molde o calidad y combinación de pedidos según el estándar de cada tipo de planta.</t>
  </si>
  <si>
    <t xml:space="preserve">Familias y ciclos de cada planta</t>
  </si>
  <si>
    <t xml:space="preserve">Cambios en el dato maestro</t>
  </si>
  <si>
    <t xml:space="preserve">Todo cambio se solicita al responsable de dato maestro, que lo aprueba y deja trazado.</t>
  </si>
  <si>
    <t xml:space="preserve">KPI</t>
  </si>
  <si>
    <t xml:space="preserve">Definición</t>
  </si>
  <si>
    <t xml:space="preserve">Fórmula</t>
  </si>
  <si>
    <t xml:space="preserve">Frecuencia</t>
  </si>
  <si>
    <t xml:space="preserve">Objetivo</t>
  </si>
  <si>
    <t xml:space="preserve">OTIF</t>
  </si>
  <si>
    <t xml:space="preserve">Pedidos entregados en la fecha y cantidad comprometidas.</t>
  </si>
  <si>
    <t xml:space="preserve">Pedidos en fecha y completos / pedidos entregados</t>
  </si>
  <si>
    <t xml:space="preserve">Adherencia al plan</t>
  </si>
  <si>
    <t xml:space="preserve">Lo producido según el plan semanal.</t>
  </si>
  <si>
    <t xml:space="preserve">Órdenes fabricadas en su semana y cantidad / órdenes planificadas</t>
  </si>
  <si>
    <t xml:space="preserve">Estabilidad del plan</t>
  </si>
  <si>
    <t xml:space="preserve">Cambios dentro del horizonte congelado.</t>
  </si>
  <si>
    <t xml:space="preserve">Órdenes modificadas en horizonte congelado / órdenes del plan</t>
  </si>
  <si>
    <t xml:space="preserve">Precisión de la previsión</t>
  </si>
  <si>
    <t xml:space="preserve">Error y sesgo de la previsión.</t>
  </si>
  <si>
    <t xml:space="preserve">1 − MAPE; sesgo = Σ(previsión − real) / Σ real</t>
  </si>
  <si>
    <t xml:space="preserve">Cobertura de stock</t>
  </si>
  <si>
    <t xml:space="preserve">Días de consumo que cubre el stock.</t>
  </si>
  <si>
    <t xml:space="preserve">Stock / consumo medio diario</t>
  </si>
  <si>
    <t xml:space="preserve">Horas de cambio</t>
  </si>
  <si>
    <t xml:space="preserve">Tiempo de máquina dedicado a cambios.</t>
  </si>
  <si>
    <t xml:space="preserve">Σ horas de cambio por línea</t>
  </si>
  <si>
    <t xml:space="preserve">OEE</t>
  </si>
  <si>
    <t xml:space="preserve">Eficiencia global de los equipos.</t>
  </si>
  <si>
    <t xml:space="preserve">Disponibilidad × rendimiento × calidad</t>
  </si>
  <si>
    <t xml:space="preserve">Saturación por línea</t>
  </si>
  <si>
    <t xml:space="preserve">Ocupación prevista de cada máquina.</t>
  </si>
  <si>
    <t xml:space="preserve">Horas cargadas / horas disponibles</t>
  </si>
  <si>
    <t xml:space="preserve">% integración intercompany</t>
  </si>
  <si>
    <t xml:space="preserve">Recepciones de SQ y DU servidas por MGT, PDA o Papresa.</t>
  </si>
  <si>
    <t xml:space="preserve">Recepciones intercompany / recepciones totales</t>
  </si>
  <si>
    <t xml:space="preserve">Salud de la cartera</t>
  </si>
  <si>
    <t xml:space="preserve">Pedidos vencidos o sin cerrar.</t>
  </si>
  <si>
    <t xml:space="preserve">Pedidos vencidos o abiertos indebidamente / cartera</t>
  </si>
  <si>
    <t xml:space="preserve">Calidad del dato maestro</t>
  </si>
  <si>
    <t xml:space="preserve">Materiales con datos completos y sin duplicados.</t>
  </si>
  <si>
    <t xml:space="preserve">Materiales correctos / materiales activos</t>
  </si>
  <si>
    <t xml:space="preserve">Madurez del proceso</t>
  </si>
  <si>
    <t xml:space="preserve">Procesos alineados con el estándar corporativo.</t>
  </si>
  <si>
    <t xml:space="preserve">Actividades alineadas / actividades aplicables</t>
  </si>
  <si>
    <t xml:space="preserve">Reunión</t>
  </si>
  <si>
    <t xml:space="preserve">Duración</t>
  </si>
  <si>
    <t xml:space="preserve">Participantes</t>
  </si>
  <si>
    <t xml:space="preserve">Entradas</t>
  </si>
  <si>
    <t xml:space="preserve">Salidas / decisiones</t>
  </si>
  <si>
    <t xml:space="preserve">Opciones</t>
  </si>
  <si>
    <t xml:space="preserve">Recomendación</t>
  </si>
  <si>
    <t xml:space="preserve">Quién decide</t>
  </si>
  <si>
    <t xml:space="preserve">Fecha límite</t>
  </si>
  <si>
    <t xml:space="preserve">Resolución</t>
  </si>
  <si>
    <t xml:space="preserve">Fase</t>
  </si>
  <si>
    <t xml:space="preserve">Acción</t>
  </si>
  <si>
    <t xml:space="preserve">Actividades</t>
  </si>
  <si>
    <t xml:space="preserve">Inicio</t>
  </si>
  <si>
    <t xml:space="preserve">Fin</t>
  </si>
  <si>
    <t xml:space="preserve">Días</t>
  </si>
  <si>
    <t xml:space="preserve">% avance</t>
  </si>
  <si>
    <t xml:space="preserve">Entregables</t>
  </si>
  <si>
    <t xml:space="preserve">1 · Gobierno y estándares</t>
  </si>
  <si>
    <t xml:space="preserve">Arranque y aprobación del modelo: roles, RACI to-be y calendario</t>
  </si>
  <si>
    <t xml:space="preserve">Grupo (todas)</t>
  </si>
  <si>
    <t xml:space="preserve">Pendiente</t>
  </si>
  <si>
    <t xml:space="preserve">Modelo aprobado por dirección; RACI to-be v1</t>
  </si>
  <si>
    <t xml:space="preserve">Modelo aprobado por dirección</t>
  </si>
  <si>
    <t xml:space="preserve">Hito</t>
  </si>
  <si>
    <t xml:space="preserve">Revisar el catálogo de actividades (fusionar 4.4 en 4.1)</t>
  </si>
  <si>
    <t xml:space="preserve">4.1, 4.4</t>
  </si>
  <si>
    <t xml:space="preserve">Catálogo v2</t>
  </si>
  <si>
    <t xml:space="preserve">Nombrar titulares y suplentes por rol en cada planta</t>
  </si>
  <si>
    <t xml:space="preserve">Personas y roles asignados con nombre y apellidos</t>
  </si>
  <si>
    <t xml:space="preserve">Con cada dirección de planta.</t>
  </si>
  <si>
    <t xml:space="preserve">Completar el as-is del resto de plantas (Ondupack, MGT, PDA y Papresa)</t>
  </si>
  <si>
    <t xml:space="preserve">Notas, RACI as-is y flujos as-is por planta</t>
  </si>
  <si>
    <t xml:space="preserve">Calendario de planificación del grupo: S&amp;OP mensual y reuniones de planta</t>
  </si>
  <si>
    <t xml:space="preserve">Calendario 2027 de reuniones</t>
  </si>
  <si>
    <t xml:space="preserve">Políticas de planificación y KPIs comunes (definición y fórmula)</t>
  </si>
  <si>
    <t xml:space="preserve">Políticas y KPIs validados</t>
  </si>
  <si>
    <t xml:space="preserve">Manual de planificación v1: procedimiento estándar por proceso</t>
  </si>
  <si>
    <t xml:space="preserve">Manual v1 con el to-be de cada proceso</t>
  </si>
  <si>
    <t xml:space="preserve">Parte del to-be diseñado en Ondupet.</t>
  </si>
  <si>
    <t xml:space="preserve">Manual de planificación v1 publicado</t>
  </si>
  <si>
    <t xml:space="preserve">2 · Piloto Ondupet</t>
  </si>
  <si>
    <t xml:space="preserve">Cerrar el E2E de Ondupet: capacidad, programación, entrega y control (5–8)</t>
  </si>
  <si>
    <t xml:space="preserve">As-is y to-be de los procesos 5 a 8</t>
  </si>
  <si>
    <t xml:space="preserve">Si se termina antes de 2027, eliminar esta acción.</t>
  </si>
  <si>
    <t xml:space="preserve">Plantilla única de alta de material con estrategia y ruta</t>
  </si>
  <si>
    <t xml:space="preserve">Plantilla de alta en GIO y circuito Comercial → Calidad → Dato maestro</t>
  </si>
  <si>
    <t xml:space="preserve">Primera revisión de ABC/XYZ y estrategias; después, trimestral</t>
  </si>
  <si>
    <t xml:space="preserve">Materiales reclasificados</t>
  </si>
  <si>
    <t xml:space="preserve">Con Victoriano Perez y Manuel Jesus Trinidad, usando la transacción automática de GIO.</t>
  </si>
  <si>
    <t xml:space="preserve">Criterio de qué define un material y limpieza de duplicados</t>
  </si>
  <si>
    <t xml:space="preserve">Criterio documentado; duplicados unidos con «material reemplazante»</t>
  </si>
  <si>
    <t xml:space="preserve">Revisión mensual de rutas por defecto con la carga del mes</t>
  </si>
  <si>
    <t xml:space="preserve">Rutina mensual en marcha</t>
  </si>
  <si>
    <t xml:space="preserve">Levantar y estandarizar el calendario de turnos y paradas</t>
  </si>
  <si>
    <t xml:space="preserve">As-is y to-be de 1.4</t>
  </si>
  <si>
    <t xml:space="preserve">El E2E no lo cubre todavía.</t>
  </si>
  <si>
    <t xml:space="preserve">Calendario de previsión con día de cierre y mes en curso congelado</t>
  </si>
  <si>
    <t xml:space="preserve">Calendario y regla de congelación acordados con Comercial</t>
  </si>
  <si>
    <t xml:space="preserve">Primer cierre de previsión en fecha</t>
  </si>
  <si>
    <t xml:space="preserve">Reunión mensual de consenso con revisión de temporales</t>
  </si>
  <si>
    <t xml:space="preserve">2.2, 2.5</t>
  </si>
  <si>
    <t xml:space="preserve">Dos ciclos de prueba y acta tipo</t>
  </si>
  <si>
    <t xml:space="preserve">Definir qué es un agotado y registrarlo a diario con motivo</t>
  </si>
  <si>
    <t xml:space="preserve">Definición y registro diario</t>
  </si>
  <si>
    <t xml:space="preserve">KPI de precisión y sesgo con plan de acción por desviación</t>
  </si>
  <si>
    <t xml:space="preserve">KPI mensual y lista de acciones</t>
  </si>
  <si>
    <t xml:space="preserve">Revisión única de cartera y uso de las dos fechas del pedido</t>
  </si>
  <si>
    <t xml:space="preserve">Fecha confirmada viable en todos los pedidos</t>
  </si>
  <si>
    <t xml:space="preserve">Validación de cargas contra el pedido: cantidad y fecha</t>
  </si>
  <si>
    <t xml:space="preserve">Validación activa y KPI de cargas atrasadas</t>
  </si>
  <si>
    <t xml:space="preserve">Necesita un desarrollo en SAP (Sistemas).</t>
  </si>
  <si>
    <t xml:space="preserve">Regla de saldado semanal con aviso a Planificación</t>
  </si>
  <si>
    <t xml:space="preserve">Regla y aviso</t>
  </si>
  <si>
    <t xml:space="preserve">Reglas de prioridad para pedidos en conflicto</t>
  </si>
  <si>
    <t xml:space="preserve">Reglas acordadas con Comercial y S&amp;OP</t>
  </si>
  <si>
    <t xml:space="preserve">Revisión semanal única del MRP (incluye materias primas y auxiliares)</t>
  </si>
  <si>
    <t xml:space="preserve">Procedimiento estándar del grupo</t>
  </si>
  <si>
    <t xml:space="preserve">Reglas para corregir propuestas de PT y semielaborado con motivo registrado</t>
  </si>
  <si>
    <t xml:space="preserve">4.2, 4.3</t>
  </si>
  <si>
    <t xml:space="preserve">Reglas y registro de motivos</t>
  </si>
  <si>
    <t xml:space="preserve">Seguimiento del piloto con KPIs y ajustes</t>
  </si>
  <si>
    <t xml:space="preserve">Informe del piloto</t>
  </si>
  <si>
    <t xml:space="preserve">Cierre del piloto y lecciones aprendidas</t>
  </si>
  <si>
    <t xml:space="preserve">3 · Sistemas y herramientas</t>
  </si>
  <si>
    <t xml:space="preserve">Papresa integrada en SAP</t>
  </si>
  <si>
    <t xml:space="preserve">Objetivo ya fijado; condiciona el despliegue en Papresa.</t>
  </si>
  <si>
    <t xml:space="preserve">SIGPA en MGT y PDA: cierre de pruebas del algoritmo de combinación</t>
  </si>
  <si>
    <t xml:space="preserve">Algoritmo en producción</t>
  </si>
  <si>
    <t xml:space="preserve">Proyecto en pruebas. Aplica a MGT y PDA.</t>
  </si>
  <si>
    <t xml:space="preserve">Informe automático de KPIs de planificación</t>
  </si>
  <si>
    <t xml:space="preserve">Cuadro de mando mensual por planta</t>
  </si>
  <si>
    <t xml:space="preserve">Algoritmo de combinación en Ondupack (Almendralejo y Navalmoral)</t>
  </si>
  <si>
    <t xml:space="preserve">Proyecto 2027 sin confirmar con negocio.</t>
  </si>
  <si>
    <t xml:space="preserve">Migración de GIO a web en Ondupet</t>
  </si>
  <si>
    <t xml:space="preserve">PRAE Ondupet: asignación de personas a turnos y máquinas</t>
  </si>
  <si>
    <t xml:space="preserve">Migración de GIO a web en Ondupack</t>
  </si>
  <si>
    <t xml:space="preserve">Proyecto 2027 sin confirmar con negocio. Aplica a las dos plantas.</t>
  </si>
  <si>
    <t xml:space="preserve">4 · Despliegue en plantas</t>
  </si>
  <si>
    <t xml:space="preserve">Despliegue en Ondupack Almendralejo</t>
  </si>
  <si>
    <t xml:space="preserve">To-be adaptado, RACI con nombres, formación y arranque</t>
  </si>
  <si>
    <t xml:space="preserve">Agosto, a medio ritmo.</t>
  </si>
  <si>
    <t xml:space="preserve">Ondupack Almendralejo trabajando con el modelo</t>
  </si>
  <si>
    <t xml:space="preserve">Despliegue en Ondupack Navalmoral</t>
  </si>
  <si>
    <t xml:space="preserve">Ondupack Navalmoral trabajando con el modelo</t>
  </si>
  <si>
    <t xml:space="preserve">Despliegue en MGT y PDA (papeleras)</t>
  </si>
  <si>
    <t xml:space="preserve">Junto con el flujo intercompany. Aplica a MGT y PDA.</t>
  </si>
  <si>
    <t xml:space="preserve">MGT y PDA trabajando con el modelo</t>
  </si>
  <si>
    <t xml:space="preserve">Despliegue en Papresa</t>
  </si>
  <si>
    <t xml:space="preserve">Después de su integración en SAP y en el intercompany.</t>
  </si>
  <si>
    <t xml:space="preserve">Papresa trabajando con el modelo</t>
  </si>
  <si>
    <t xml:space="preserve">5 · Consolidación</t>
  </si>
  <si>
    <t xml:space="preserve">Auditoría trimestral de cumplimiento del modelo por planta</t>
  </si>
  <si>
    <t xml:space="preserve">Informe trimestral: RACI, KPIs y calendario</t>
  </si>
  <si>
    <t xml:space="preserve">Revisión anual del modelo: RACI, políticas y KPIs</t>
  </si>
  <si>
    <t xml:space="preserve">Modelo v2</t>
  </si>
  <si>
    <t xml:space="preserve">Modelo desplegado en todo el grupo</t>
  </si>
  <si>
    <t xml:space="preserve">Gantt del plan de acción</t>
  </si>
  <si>
    <t xml:space="preserve">Se calcula desde la hoja Plan: si cambias allí una fecha, aquí se mueve la barra. ◆ = hito.</t>
  </si>
  <si>
    <t xml:space="preserve">T1 2027</t>
  </si>
  <si>
    <t xml:space="preserve">T2 2027</t>
  </si>
  <si>
    <t xml:space="preserve">T3 2027</t>
  </si>
  <si>
    <t xml:space="preserve">T4 2027</t>
  </si>
  <si>
    <t xml:space="preserve">T1 2028</t>
  </si>
  <si>
    <t xml:space="preserve">T2 2028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</si>
</sst>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0%"/>
    <numFmt numFmtId="167" formatCode="dd/mm/yyyy"/>
    <numFmt numFmtId="168" formatCode="mmm\ yy"/>
    <numFmt numFmtId="169" formatCode="dd/mm/yy"/>
    <numFmt numFmtId="170" formatCode=";;;@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263A"/>
      <name val="Arial"/>
      <family val="0"/>
      <charset val="1"/>
    </font>
    <font>
      <i val="true"/>
      <sz val="11"/>
      <color rgb="FF244C5A"/>
      <name val="Arial"/>
      <family val="0"/>
      <charset val="1"/>
    </font>
    <font>
      <b val="true"/>
      <sz val="10"/>
      <color rgb="FF244C5A"/>
      <name val="Arial"/>
      <family val="0"/>
      <charset val="1"/>
    </font>
    <font>
      <sz val="10"/>
      <color rgb="FF00263A"/>
      <name val="Arial"/>
      <family val="0"/>
      <charset val="1"/>
    </font>
    <font>
      <b val="true"/>
      <sz val="12"/>
      <color rgb="FF00263A"/>
      <name val="Arial"/>
      <family val="0"/>
      <charset val="1"/>
    </font>
    <font>
      <b val="true"/>
      <u val="single"/>
      <sz val="10"/>
      <color rgb="FF244C5A"/>
      <name val="Arial"/>
      <family val="0"/>
      <charset val="1"/>
    </font>
    <font>
      <b val="true"/>
      <sz val="10"/>
      <color rgb="FF00263A"/>
      <name val="Arial"/>
      <family val="0"/>
      <charset val="1"/>
    </font>
    <font>
      <sz val="9"/>
      <color rgb="FF5B6B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5B6B78"/>
      <name val="Arial"/>
      <family val="0"/>
      <charset val="1"/>
    </font>
    <font>
      <b val="true"/>
      <sz val="14"/>
      <color rgb="FF00263A"/>
      <name val="Arial"/>
      <family val="0"/>
      <charset val="1"/>
    </font>
    <font>
      <i val="true"/>
      <sz val="9"/>
      <color rgb="FF5B6B78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244C5A"/>
      <name val="Arial"/>
      <family val="0"/>
      <charset val="1"/>
    </font>
    <font>
      <b val="true"/>
      <sz val="9"/>
      <color rgb="FF00263A"/>
      <name val="Arial"/>
      <family val="0"/>
      <charset val="1"/>
    </font>
    <font>
      <i val="true"/>
      <sz val="10"/>
      <color rgb="FFB4532A"/>
      <name val="Arial"/>
      <family val="0"/>
      <charset val="1"/>
    </font>
    <font>
      <b val="true"/>
      <sz val="8"/>
      <color rgb="FF244C5A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color rgb="FF00263A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0263A"/>
        <bgColor rgb="FF003300"/>
      </patternFill>
    </fill>
    <fill>
      <patternFill patternType="solid">
        <fgColor rgb="FF98C9EB"/>
        <bgColor rgb="FFC0C0C0"/>
      </patternFill>
    </fill>
    <fill>
      <patternFill patternType="solid">
        <fgColor rgb="FFEAF3FA"/>
        <bgColor rgb="FFFFFFFF"/>
      </patternFill>
    </fill>
    <fill>
      <patternFill patternType="solid">
        <fgColor rgb="FFFFFFFF"/>
        <bgColor rgb="FFEAF3FA"/>
      </patternFill>
    </fill>
    <fill>
      <patternFill patternType="solid">
        <fgColor rgb="FFFBE9DE"/>
        <bgColor rgb="FFFFF4CC"/>
      </patternFill>
    </fill>
    <fill>
      <patternFill patternType="solid">
        <fgColor rgb="FFFFF4CC"/>
        <bgColor rgb="FFFBE9DE"/>
      </patternFill>
    </fill>
    <fill>
      <patternFill patternType="solid">
        <fgColor rgb="FF244C5A"/>
        <bgColor rgb="FF3333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7DFE5"/>
      </left>
      <right style="thin">
        <color rgb="FFD7DFE5"/>
      </right>
      <top style="thin">
        <color rgb="FFD7DFE5"/>
      </top>
      <bottom style="thin">
        <color rgb="FFD7DFE5"/>
      </bottom>
      <diagonal/>
    </border>
    <border diagonalUp="false" diagonalDown="false">
      <left style="hair">
        <color rgb="FFD7DFE5"/>
      </left>
      <right/>
      <top/>
      <bottom style="hair">
        <color rgb="FFD7DF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4">
    <dxf>
      <fill>
        <patternFill patternType="solid">
          <fgColor rgb="FF00263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BE9DE"/>
          <bgColor rgb="FF000000"/>
        </patternFill>
      </fill>
    </dxf>
    <dxf>
      <fill>
        <patternFill patternType="solid">
          <fgColor rgb="FF98C9EB"/>
          <bgColor rgb="FF000000"/>
        </patternFill>
      </fill>
    </dxf>
    <dxf>
      <fill>
        <patternFill patternType="solid">
          <fgColor rgb="FFEAF3FA"/>
          <bgColor rgb="FF000000"/>
        </patternFill>
      </fill>
    </dxf>
    <dxf>
      <fill>
        <patternFill patternType="solid">
          <fgColor rgb="FF244C5A"/>
          <bgColor rgb="FF000000"/>
        </patternFill>
      </fill>
    </dxf>
    <dxf>
      <fill>
        <patternFill patternType="solid">
          <fgColor rgb="FF5B6B78"/>
          <bgColor rgb="FF000000"/>
        </patternFill>
      </fill>
    </dxf>
    <dxf>
      <fill>
        <patternFill patternType="solid">
          <fgColor rgb="FFB4532A"/>
          <bgColor rgb="FF000000"/>
        </patternFill>
      </fill>
    </dxf>
    <dxf>
      <fill>
        <patternFill patternType="solid">
          <fgColor rgb="FF1BAF7A"/>
          <bgColor rgb="FF000000"/>
        </patternFill>
      </fill>
    </dxf>
    <dxf>
      <fill>
        <patternFill patternType="solid">
          <fgColor rgb="FF2A78D6"/>
          <bgColor rgb="FF000000"/>
        </patternFill>
      </fill>
    </dxf>
    <dxf>
      <fill>
        <patternFill patternType="solid">
          <fgColor rgb="FFE87BA4"/>
          <bgColor rgb="FF000000"/>
        </patternFill>
      </fill>
    </dxf>
    <dxf>
      <fill>
        <patternFill patternType="solid">
          <fgColor rgb="FFEB6834"/>
          <bgColor rgb="FF000000"/>
        </patternFill>
      </fill>
    </dxf>
    <dxf>
      <fill>
        <patternFill patternType="solid">
          <fgColor rgb="FFEDA100"/>
          <bgColor rgb="FF000000"/>
        </patternFill>
      </fill>
    </dxf>
    <dxf>
      <font>
        <name val="Arial"/>
        <charset val="1"/>
        <family val="0"/>
        <b val="1"/>
        <color rgb="FFFFFFFF"/>
        <sz val="10"/>
      </font>
      <fill>
        <patternFill>
          <bgColor rgb="FF2A78D6"/>
        </patternFill>
      </fill>
    </dxf>
    <dxf>
      <font>
        <name val="Arial"/>
        <charset val="1"/>
        <family val="0"/>
        <b val="1"/>
        <color rgb="FFFFFFFF"/>
        <sz val="10"/>
      </font>
      <fill>
        <patternFill>
          <bgColor rgb="FFEB6834"/>
        </patternFill>
      </fill>
    </dxf>
    <dxf>
      <font>
        <name val="Arial"/>
        <charset val="1"/>
        <family val="0"/>
        <b val="1"/>
        <color rgb="FFFFFFFF"/>
        <sz val="10"/>
      </font>
      <fill>
        <patternFill>
          <bgColor rgb="FF1BAF7A"/>
        </patternFill>
      </fill>
    </dxf>
    <dxf>
      <font>
        <name val="Arial"/>
        <charset val="1"/>
        <family val="0"/>
        <b val="1"/>
        <color rgb="FFFFFFFF"/>
        <sz val="10"/>
      </font>
      <fill>
        <patternFill>
          <bgColor rgb="FFEDA100"/>
        </patternFill>
      </fill>
    </dxf>
    <dxf>
      <font>
        <name val="Arial"/>
        <charset val="1"/>
        <family val="0"/>
        <b val="1"/>
        <color rgb="FFFFFFFF"/>
        <sz val="10"/>
      </font>
      <fill>
        <patternFill>
          <bgColor rgb="FFE87BA4"/>
        </patternFill>
      </fill>
    </dxf>
    <dxf>
      <fill>
        <patternFill>
          <bgColor rgb="FF2A78D6"/>
        </patternFill>
      </fill>
    </dxf>
    <dxf>
      <fill>
        <patternFill>
          <bgColor rgb="FFEB6834"/>
        </patternFill>
      </fill>
    </dxf>
    <dxf>
      <fill>
        <patternFill>
          <bgColor rgb="FF1BAF7A"/>
        </patternFill>
      </fill>
    </dxf>
    <dxf>
      <fill>
        <patternFill>
          <bgColor rgb="FFEDA100"/>
        </patternFill>
      </fill>
    </dxf>
    <dxf>
      <fill>
        <patternFill>
          <bgColor rgb="FFE87BA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C"/>
      <rgbColor rgb="FFEAF3FA"/>
      <rgbColor rgb="FF660066"/>
      <rgbColor rgb="FFE87BA4"/>
      <rgbColor rgb="FF0066CC"/>
      <rgbColor rgb="FFD7DF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BE9DE"/>
      <rgbColor rgb="FF98C9EB"/>
      <rgbColor rgb="FFFF99CC"/>
      <rgbColor rgb="FFCC99FF"/>
      <rgbColor rgb="FFFFCC99"/>
      <rgbColor rgb="FF2A78D6"/>
      <rgbColor rgb="FF33CCCC"/>
      <rgbColor rgb="FF99CC00"/>
      <rgbColor rgb="FFFFCC00"/>
      <rgbColor rgb="FFEDA100"/>
      <rgbColor rgb="FFEB6834"/>
      <rgbColor rgb="FF5B6B78"/>
      <rgbColor rgb="FF969696"/>
      <rgbColor rgb="FF00263A"/>
      <rgbColor rgb="FF1BAF7A"/>
      <rgbColor rgb="FF003300"/>
      <rgbColor rgb="FF333300"/>
      <rgbColor rgb="FFB4532A"/>
      <rgbColor rgb="FF993366"/>
      <rgbColor rgb="FF333399"/>
      <rgbColor rgb="FF244C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Kit_Modelo_Planificacion_CL.xlsx" TargetMode="External"/><Relationship Id="rId2" Type="http://schemas.openxmlformats.org/officeDocument/2006/relationships/hyperlink" Target="Kit_Modelo_Planificacion_CL.xlsx" TargetMode="External"/><Relationship Id="rId3" Type="http://schemas.openxmlformats.org/officeDocument/2006/relationships/hyperlink" Target="Kit_Modelo_Planificacion_CL.xlsx" TargetMode="External"/><Relationship Id="rId4" Type="http://schemas.openxmlformats.org/officeDocument/2006/relationships/hyperlink" Target="Kit_Modelo_Planificacion_CL.xlsx" TargetMode="External"/><Relationship Id="rId5" Type="http://schemas.openxmlformats.org/officeDocument/2006/relationships/hyperlink" Target="Kit_Modelo_Planificacion_CL.xlsx" TargetMode="External"/><Relationship Id="rId6" Type="http://schemas.openxmlformats.org/officeDocument/2006/relationships/hyperlink" Target="Kit_Modelo_Planificacion_CL.xlsx" TargetMode="External"/><Relationship Id="rId7" Type="http://schemas.openxmlformats.org/officeDocument/2006/relationships/hyperlink" Target="Kit_Modelo_Planificacion_CL.xlsx" TargetMode="External"/><Relationship Id="rId8" Type="http://schemas.openxmlformats.org/officeDocument/2006/relationships/hyperlink" Target="Kit_Modelo_Planificacion_CL.xlsx" TargetMode="External"/><Relationship Id="rId9" Type="http://schemas.openxmlformats.org/officeDocument/2006/relationships/hyperlink" Target="Kit_Modelo_Planificacion_CL.xlsx" TargetMode="External"/><Relationship Id="rId10" Type="http://schemas.openxmlformats.org/officeDocument/2006/relationships/hyperlink" Target="Kit_Modelo_Planificacion_CL.xlsx" TargetMode="External"/><Relationship Id="rId11" Type="http://schemas.openxmlformats.org/officeDocument/2006/relationships/hyperlink" Target="Kit_Modelo_Planificacion_CL.xlsx" TargetMode="External"/><Relationship Id="rId12" Type="http://schemas.openxmlformats.org/officeDocument/2006/relationships/hyperlink" Target="Kit_Modelo_Planificacion_CL.xlsx" TargetMode="External"/><Relationship Id="rId13" Type="http://schemas.openxmlformats.org/officeDocument/2006/relationships/hyperlink" Target="Kit_Modelo_Planificacion_CL.xlsx" TargetMode="External"/><Relationship Id="rId14" Type="http://schemas.openxmlformats.org/officeDocument/2006/relationships/hyperlink" Target="Kit_Modelo_Planificacion_CL.xlsx" TargetMode="External"/><Relationship Id="rId15" Type="http://schemas.openxmlformats.org/officeDocument/2006/relationships/hyperlink" Target="Kit_Modelo_Planificacion_CL.xlsx" TargetMode="External"/><Relationship Id="rId16" Type="http://schemas.openxmlformats.org/officeDocument/2006/relationships/hyperlink" Target="Kit_Modelo_Planificacion_CL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263A"/>
    <pageSetUpPr fitToPage="true"/>
  </sheetPr>
  <dimension ref="B2:E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78"/>
    <col collapsed="false" customWidth="true" hidden="false" outlineLevel="0" max="4" min="4" style="0" width="10"/>
    <col collapsed="false" customWidth="true" hidden="false" outlineLevel="0" max="5" min="5" style="0" width="22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s">
        <v>3</v>
      </c>
    </row>
    <row r="6" customFormat="false" ht="15" hidden="false" customHeight="false" outlineLevel="0" collapsed="false">
      <c r="B6" s="3" t="s">
        <v>4</v>
      </c>
      <c r="C6" s="4" t="s">
        <v>5</v>
      </c>
    </row>
    <row r="7" customFormat="false" ht="15" hidden="false" customHeight="false" outlineLevel="0" collapsed="false">
      <c r="B7" s="3" t="s">
        <v>6</v>
      </c>
      <c r="C7" s="4" t="s">
        <v>7</v>
      </c>
    </row>
    <row r="9" customFormat="false" ht="15" hidden="false" customHeight="false" outlineLevel="0" collapsed="false">
      <c r="B9" s="5" t="s">
        <v>8</v>
      </c>
    </row>
    <row r="10" customFormat="false" ht="15" hidden="false" customHeight="false" outlineLevel="0" collapsed="false">
      <c r="B10" s="6" t="s">
        <v>9</v>
      </c>
      <c r="C10" s="4" t="s">
        <v>10</v>
      </c>
      <c r="D10" s="7" t="n">
        <f aca="false">COUNTA(Procesos!B:B)-1</f>
        <v>44</v>
      </c>
      <c r="E10" s="8" t="s">
        <v>11</v>
      </c>
    </row>
    <row r="11" customFormat="false" ht="15" hidden="false" customHeight="false" outlineLevel="0" collapsed="false">
      <c r="B11" s="6" t="s">
        <v>12</v>
      </c>
      <c r="C11" s="4" t="s">
        <v>13</v>
      </c>
      <c r="D11" s="7" t="n">
        <f aca="false">COUNT(Flujos!D:D)</f>
        <v>103</v>
      </c>
      <c r="E11" s="8" t="s">
        <v>14</v>
      </c>
    </row>
    <row r="12" customFormat="false" ht="15" hidden="false" customHeight="false" outlineLevel="0" collapsed="false">
      <c r="B12" s="6" t="s">
        <v>15</v>
      </c>
      <c r="C12" s="4" t="s">
        <v>16</v>
      </c>
      <c r="D12" s="7" t="n">
        <f aca="false">COUNTA(Notas!E:E)-1-COUNTIF(Notas!E:E,"Sin revisar")</f>
        <v>22</v>
      </c>
      <c r="E12" s="8" t="s">
        <v>17</v>
      </c>
    </row>
    <row r="13" customFormat="false" ht="15" hidden="false" customHeight="false" outlineLevel="0" collapsed="false">
      <c r="B13" s="6" t="s">
        <v>18</v>
      </c>
      <c r="C13" s="4" t="s">
        <v>19</v>
      </c>
    </row>
    <row r="14" customFormat="false" ht="15" hidden="false" customHeight="false" outlineLevel="0" collapsed="false">
      <c r="B14" s="6" t="s">
        <v>20</v>
      </c>
      <c r="C14" s="4" t="s">
        <v>21</v>
      </c>
      <c r="D14" s="7" t="n">
        <f aca="false">COUNTIF(RACI!S:S,"OK")</f>
        <v>44</v>
      </c>
      <c r="E14" s="8" t="s">
        <v>22</v>
      </c>
    </row>
    <row r="15" customFormat="false" ht="15" hidden="false" customHeight="false" outlineLevel="0" collapsed="false">
      <c r="B15" s="6" t="s">
        <v>23</v>
      </c>
      <c r="C15" s="4" t="s">
        <v>24</v>
      </c>
      <c r="D15" s="7" t="n">
        <f aca="false">COUNTA('RACI as-is'!C:C)-1</f>
        <v>14</v>
      </c>
      <c r="E15" s="8" t="s">
        <v>25</v>
      </c>
    </row>
    <row r="16" customFormat="false" ht="15" hidden="false" customHeight="false" outlineLevel="0" collapsed="false">
      <c r="B16" s="6" t="s">
        <v>26</v>
      </c>
      <c r="C16" s="4" t="s">
        <v>27</v>
      </c>
      <c r="D16" s="7" t="n">
        <f aca="false">COUNTA(Roles!A:A)-1</f>
        <v>15</v>
      </c>
      <c r="E16" s="8" t="s">
        <v>28</v>
      </c>
    </row>
    <row r="17" customFormat="false" ht="15" hidden="false" customHeight="false" outlineLevel="0" collapsed="false">
      <c r="B17" s="6" t="s">
        <v>29</v>
      </c>
      <c r="C17" s="4" t="s">
        <v>30</v>
      </c>
      <c r="D17" s="7" t="n">
        <f aca="false">COUNTA(Asignación!C:C)-1</f>
        <v>21</v>
      </c>
      <c r="E17" s="8" t="s">
        <v>31</v>
      </c>
    </row>
    <row r="18" customFormat="false" ht="15" hidden="false" customHeight="false" outlineLevel="0" collapsed="false">
      <c r="B18" s="6" t="s">
        <v>32</v>
      </c>
      <c r="C18" s="4" t="s">
        <v>33</v>
      </c>
      <c r="D18" s="7" t="n">
        <f aca="false">COUNTA(Organigramas!D:D)-1</f>
        <v>60</v>
      </c>
      <c r="E18" s="8" t="s">
        <v>34</v>
      </c>
    </row>
    <row r="19" customFormat="false" ht="15" hidden="false" customHeight="false" outlineLevel="0" collapsed="false">
      <c r="B19" s="6" t="s">
        <v>35</v>
      </c>
      <c r="C19" s="4" t="s">
        <v>36</v>
      </c>
      <c r="D19" s="7" t="n">
        <f aca="false">COUNTA(Empresas!A:A)-1</f>
        <v>7</v>
      </c>
      <c r="E19" s="8" t="s">
        <v>37</v>
      </c>
    </row>
    <row r="20" customFormat="false" ht="15" hidden="false" customHeight="false" outlineLevel="0" collapsed="false">
      <c r="B20" s="6" t="s">
        <v>38</v>
      </c>
      <c r="C20" s="4" t="s">
        <v>39</v>
      </c>
      <c r="D20" s="7" t="n">
        <f aca="false">COUNTA(Políticas!A:A)-1</f>
        <v>10</v>
      </c>
      <c r="E20" s="8" t="s">
        <v>40</v>
      </c>
    </row>
    <row r="21" customFormat="false" ht="15" hidden="false" customHeight="false" outlineLevel="0" collapsed="false">
      <c r="B21" s="6" t="s">
        <v>41</v>
      </c>
      <c r="C21" s="4" t="s">
        <v>42</v>
      </c>
      <c r="D21" s="7" t="n">
        <f aca="false">COUNTA(KPIs!A:A)-1</f>
        <v>12</v>
      </c>
      <c r="E21" s="8" t="s">
        <v>41</v>
      </c>
    </row>
    <row r="22" customFormat="false" ht="15" hidden="false" customHeight="false" outlineLevel="0" collapsed="false">
      <c r="B22" s="6" t="s">
        <v>43</v>
      </c>
      <c r="C22" s="4" t="s">
        <v>44</v>
      </c>
      <c r="D22" s="7" t="n">
        <f aca="false">COUNTA(Reuniones!A:A)-1</f>
        <v>0</v>
      </c>
      <c r="E22" s="8" t="s">
        <v>45</v>
      </c>
    </row>
    <row r="23" customFormat="false" ht="15" hidden="false" customHeight="false" outlineLevel="0" collapsed="false">
      <c r="B23" s="6" t="s">
        <v>46</v>
      </c>
      <c r="C23" s="4" t="s">
        <v>47</v>
      </c>
      <c r="D23" s="7" t="n">
        <f aca="false">COUNTIF(Decisiones!F:F,"Abierta")</f>
        <v>0</v>
      </c>
      <c r="E23" s="8" t="s">
        <v>48</v>
      </c>
    </row>
    <row r="24" customFormat="false" ht="15" hidden="false" customHeight="false" outlineLevel="0" collapsed="false">
      <c r="B24" s="6" t="s">
        <v>49</v>
      </c>
      <c r="C24" s="4" t="s">
        <v>50</v>
      </c>
      <c r="D24" s="7" t="n">
        <f aca="false">COUNTA(Plan!B:B)-1</f>
        <v>46</v>
      </c>
      <c r="E24" s="8" t="s">
        <v>51</v>
      </c>
    </row>
    <row r="25" customFormat="false" ht="15" hidden="false" customHeight="false" outlineLevel="0" collapsed="false">
      <c r="B25" s="6" t="s">
        <v>52</v>
      </c>
      <c r="C25" s="4" t="s">
        <v>53</v>
      </c>
      <c r="D25" s="7" t="n">
        <f aca="false">COUNTIF(Plan!G:G,"Hito")</f>
        <v>10</v>
      </c>
      <c r="E25" s="8" t="s">
        <v>54</v>
      </c>
    </row>
    <row r="27" customFormat="false" ht="15" hidden="false" customHeight="false" outlineLevel="0" collapsed="false">
      <c r="B27" s="5" t="s">
        <v>55</v>
      </c>
    </row>
    <row r="28" customFormat="false" ht="15" hidden="false" customHeight="false" outlineLevel="0" collapsed="false">
      <c r="B28" s="9" t="s">
        <v>56</v>
      </c>
      <c r="C28" s="4" t="s">
        <v>57</v>
      </c>
    </row>
    <row r="29" customFormat="false" ht="15" hidden="false" customHeight="false" outlineLevel="0" collapsed="false">
      <c r="B29" s="10" t="s">
        <v>58</v>
      </c>
      <c r="C29" s="4" t="s">
        <v>59</v>
      </c>
    </row>
    <row r="30" customFormat="false" ht="15" hidden="false" customHeight="false" outlineLevel="0" collapsed="false">
      <c r="B30" s="9" t="s">
        <v>60</v>
      </c>
      <c r="C30" s="4" t="s">
        <v>61</v>
      </c>
    </row>
    <row r="31" customFormat="false" ht="15" hidden="false" customHeight="false" outlineLevel="0" collapsed="false">
      <c r="B31" s="11" t="s">
        <v>62</v>
      </c>
      <c r="C31" s="4" t="s">
        <v>63</v>
      </c>
    </row>
    <row r="32" customFormat="false" ht="15" hidden="false" customHeight="false" outlineLevel="0" collapsed="false">
      <c r="B32" s="12" t="s">
        <v>64</v>
      </c>
      <c r="C32" s="4" t="s">
        <v>65</v>
      </c>
    </row>
  </sheetData>
  <hyperlinks>
    <hyperlink ref="B10" r:id="rId1" location="'Procesos'!A1" display="Procesos"/>
    <hyperlink ref="B11" r:id="rId2" location="'Flujos'!A1" display="Flujos"/>
    <hyperlink ref="B12" r:id="rId3" location="'Notas'!A1" display="Notas"/>
    <hyperlink ref="B13" r:id="rId4" location="'Madurez'!A1" display="Madurez"/>
    <hyperlink ref="B14" r:id="rId5" location="'RACI'!A1" display="RACI"/>
    <hyperlink ref="B15" r:id="rId6" location="'RACI%20as-is'!A1" display="RACI as-is"/>
    <hyperlink ref="B16" r:id="rId7" location="'Roles'!A1" display="Roles"/>
    <hyperlink ref="B17" r:id="rId8" location="'Asignación'!A1" display="Asignación"/>
    <hyperlink ref="B18" r:id="rId9" location="'Organigramas'!A1" display="Organigramas"/>
    <hyperlink ref="B19" r:id="rId10" location="'Empresas'!A1" display="Empresas"/>
    <hyperlink ref="B20" r:id="rId11" location="'Políticas'!A1" display="Políticas"/>
    <hyperlink ref="B21" r:id="rId12" location="'KPIs'!A1" display="KPIs"/>
    <hyperlink ref="B22" r:id="rId13" location="'Reuniones'!A1" display="Reuniones"/>
    <hyperlink ref="B23" r:id="rId14" location="'Decisiones'!A1" display="Decisiones"/>
    <hyperlink ref="B24" r:id="rId15" location="'Plan'!A1" display="Plan"/>
    <hyperlink ref="B25" r:id="rId16" location="'Gantt'!A1" display="Gant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8C9EB"/>
    <pageSetUpPr fitToPage="true"/>
  </sheetPr>
  <dimension ref="A1:O3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6"/>
    <col collapsed="false" customWidth="true" hidden="false" outlineLevel="0" max="4" min="4" style="0" width="34"/>
    <col collapsed="false" customWidth="true" hidden="false" outlineLevel="0" max="5" min="5" style="0" width="20"/>
    <col collapsed="false" customWidth="true" hidden="false" outlineLevel="0" max="6" min="6" style="0" width="22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2" min="10" style="0" width="45"/>
    <col collapsed="false" customWidth="true" hidden="false" outlineLevel="0" max="13" min="13" style="0" width="10"/>
    <col collapsed="false" customWidth="true" hidden="false" outlineLevel="0" max="14" min="14" style="0" width="30"/>
    <col collapsed="false" customWidth="true" hidden="false" outlineLevel="0" max="15" min="15" style="0" width="18"/>
  </cols>
  <sheetData>
    <row r="1" customFormat="false" ht="23.85" hidden="false" customHeight="false" outlineLevel="0" collapsed="false">
      <c r="A1" s="9" t="s">
        <v>66</v>
      </c>
      <c r="B1" s="9" t="s">
        <v>67</v>
      </c>
      <c r="C1" s="9" t="s">
        <v>68</v>
      </c>
      <c r="D1" s="9" t="s">
        <v>69</v>
      </c>
      <c r="E1" s="9" t="s">
        <v>70</v>
      </c>
      <c r="F1" s="9" t="s">
        <v>71</v>
      </c>
      <c r="G1" s="9" t="s">
        <v>72</v>
      </c>
      <c r="H1" s="9" t="s">
        <v>73</v>
      </c>
      <c r="I1" s="9" t="s">
        <v>74</v>
      </c>
      <c r="J1" s="9" t="s">
        <v>75</v>
      </c>
      <c r="K1" s="9" t="s">
        <v>76</v>
      </c>
      <c r="L1" s="9" t="s">
        <v>77</v>
      </c>
      <c r="M1" s="9" t="s">
        <v>78</v>
      </c>
      <c r="N1" s="9" t="s">
        <v>15</v>
      </c>
      <c r="O1" s="9" t="s">
        <v>79</v>
      </c>
    </row>
    <row r="2" customFormat="false" ht="15" hidden="false" customHeight="false" outlineLevel="0" collapsed="false">
      <c r="A2" s="13" t="s">
        <v>80</v>
      </c>
      <c r="B2" s="13" t="s">
        <v>81</v>
      </c>
      <c r="C2" s="13" t="s">
        <v>82</v>
      </c>
      <c r="D2" s="13" t="s">
        <v>83</v>
      </c>
      <c r="E2" s="13" t="s">
        <v>84</v>
      </c>
      <c r="F2" s="13"/>
      <c r="G2" s="13"/>
      <c r="H2" s="13"/>
      <c r="I2" s="13"/>
      <c r="J2" s="13"/>
      <c r="K2" s="13"/>
      <c r="L2" s="13"/>
      <c r="M2" s="13"/>
      <c r="N2" s="13"/>
      <c r="O2" s="13" t="s">
        <v>85</v>
      </c>
    </row>
    <row r="3" customFormat="false" ht="15" hidden="false" customHeight="false" outlineLevel="0" collapsed="false">
      <c r="A3" s="13" t="s">
        <v>80</v>
      </c>
      <c r="B3" s="13" t="s">
        <v>81</v>
      </c>
      <c r="C3" s="13" t="s">
        <v>86</v>
      </c>
      <c r="D3" s="13" t="s">
        <v>87</v>
      </c>
      <c r="E3" s="13" t="s">
        <v>84</v>
      </c>
      <c r="F3" s="13"/>
      <c r="G3" s="13"/>
      <c r="H3" s="13"/>
      <c r="I3" s="13"/>
      <c r="J3" s="13"/>
      <c r="K3" s="13"/>
      <c r="L3" s="13"/>
      <c r="M3" s="13"/>
      <c r="N3" s="13"/>
      <c r="O3" s="13" t="s">
        <v>85</v>
      </c>
    </row>
    <row r="4" customFormat="false" ht="15" hidden="false" customHeight="false" outlineLevel="0" collapsed="false">
      <c r="A4" s="13" t="s">
        <v>80</v>
      </c>
      <c r="B4" s="13" t="s">
        <v>81</v>
      </c>
      <c r="C4" s="13" t="s">
        <v>88</v>
      </c>
      <c r="D4" s="13" t="s">
        <v>89</v>
      </c>
      <c r="E4" s="13" t="s">
        <v>84</v>
      </c>
      <c r="F4" s="13"/>
      <c r="G4" s="13"/>
      <c r="H4" s="13"/>
      <c r="I4" s="13"/>
      <c r="J4" s="13"/>
      <c r="K4" s="13"/>
      <c r="L4" s="13"/>
      <c r="M4" s="13"/>
      <c r="N4" s="13"/>
      <c r="O4" s="13" t="s">
        <v>85</v>
      </c>
    </row>
    <row r="5" customFormat="false" ht="15" hidden="false" customHeight="false" outlineLevel="0" collapsed="false">
      <c r="A5" s="13" t="s">
        <v>80</v>
      </c>
      <c r="B5" s="13" t="s">
        <v>81</v>
      </c>
      <c r="C5" s="13" t="s">
        <v>90</v>
      </c>
      <c r="D5" s="13" t="s">
        <v>91</v>
      </c>
      <c r="E5" s="13" t="s">
        <v>84</v>
      </c>
      <c r="F5" s="13"/>
      <c r="G5" s="13"/>
      <c r="H5" s="13"/>
      <c r="I5" s="13"/>
      <c r="J5" s="13"/>
      <c r="K5" s="13"/>
      <c r="L5" s="13"/>
      <c r="M5" s="13"/>
      <c r="N5" s="13"/>
      <c r="O5" s="13" t="s">
        <v>85</v>
      </c>
    </row>
    <row r="6" customFormat="false" ht="15" hidden="false" customHeight="false" outlineLevel="0" collapsed="false">
      <c r="A6" s="13" t="s">
        <v>80</v>
      </c>
      <c r="B6" s="13" t="s">
        <v>81</v>
      </c>
      <c r="C6" s="13" t="s">
        <v>92</v>
      </c>
      <c r="D6" s="13" t="s">
        <v>93</v>
      </c>
      <c r="E6" s="13" t="s">
        <v>84</v>
      </c>
      <c r="F6" s="13"/>
      <c r="G6" s="13"/>
      <c r="H6" s="13"/>
      <c r="I6" s="13"/>
      <c r="J6" s="13"/>
      <c r="K6" s="13"/>
      <c r="L6" s="13"/>
      <c r="M6" s="13"/>
      <c r="N6" s="13"/>
      <c r="O6" s="13" t="s">
        <v>85</v>
      </c>
    </row>
    <row r="7" customFormat="false" ht="15" hidden="false" customHeight="false" outlineLevel="0" collapsed="false">
      <c r="A7" s="13" t="s">
        <v>80</v>
      </c>
      <c r="B7" s="13" t="s">
        <v>81</v>
      </c>
      <c r="C7" s="13" t="s">
        <v>94</v>
      </c>
      <c r="D7" s="13" t="s">
        <v>95</v>
      </c>
      <c r="E7" s="13" t="s">
        <v>84</v>
      </c>
      <c r="F7" s="13"/>
      <c r="G7" s="13"/>
      <c r="H7" s="13"/>
      <c r="I7" s="13"/>
      <c r="J7" s="13"/>
      <c r="K7" s="13"/>
      <c r="L7" s="13"/>
      <c r="M7" s="13"/>
      <c r="N7" s="13"/>
      <c r="O7" s="13" t="s">
        <v>85</v>
      </c>
    </row>
    <row r="8" customFormat="false" ht="15" hidden="false" customHeight="false" outlineLevel="0" collapsed="false">
      <c r="A8" s="13" t="s">
        <v>80</v>
      </c>
      <c r="B8" s="13" t="s">
        <v>96</v>
      </c>
      <c r="C8" s="13" t="s">
        <v>97</v>
      </c>
      <c r="D8" s="13" t="s">
        <v>98</v>
      </c>
      <c r="E8" s="13" t="s">
        <v>84</v>
      </c>
      <c r="F8" s="13"/>
      <c r="G8" s="13"/>
      <c r="H8" s="13"/>
      <c r="I8" s="13"/>
      <c r="J8" s="13"/>
      <c r="K8" s="13"/>
      <c r="L8" s="13"/>
      <c r="M8" s="13"/>
      <c r="N8" s="13"/>
      <c r="O8" s="13" t="s">
        <v>85</v>
      </c>
    </row>
    <row r="9" customFormat="false" ht="15" hidden="false" customHeight="false" outlineLevel="0" collapsed="false">
      <c r="A9" s="13" t="s">
        <v>80</v>
      </c>
      <c r="B9" s="13" t="s">
        <v>96</v>
      </c>
      <c r="C9" s="13" t="s">
        <v>99</v>
      </c>
      <c r="D9" s="13" t="s">
        <v>100</v>
      </c>
      <c r="E9" s="13" t="s">
        <v>84</v>
      </c>
      <c r="F9" s="13"/>
      <c r="G9" s="13"/>
      <c r="H9" s="13"/>
      <c r="I9" s="13"/>
      <c r="J9" s="13"/>
      <c r="K9" s="13"/>
      <c r="L9" s="13"/>
      <c r="M9" s="13"/>
      <c r="N9" s="13"/>
      <c r="O9" s="13" t="s">
        <v>85</v>
      </c>
    </row>
    <row r="10" customFormat="false" ht="15" hidden="false" customHeight="false" outlineLevel="0" collapsed="false">
      <c r="A10" s="13" t="s">
        <v>80</v>
      </c>
      <c r="B10" s="13" t="s">
        <v>96</v>
      </c>
      <c r="C10" s="13" t="s">
        <v>101</v>
      </c>
      <c r="D10" s="13" t="s">
        <v>102</v>
      </c>
      <c r="E10" s="13" t="s">
        <v>84</v>
      </c>
      <c r="F10" s="13"/>
      <c r="G10" s="13"/>
      <c r="H10" s="13"/>
      <c r="I10" s="13"/>
      <c r="J10" s="13"/>
      <c r="K10" s="13"/>
      <c r="L10" s="13"/>
      <c r="M10" s="13"/>
      <c r="N10" s="13"/>
      <c r="O10" s="13" t="s">
        <v>85</v>
      </c>
    </row>
    <row r="11" customFormat="false" ht="15" hidden="false" customHeight="false" outlineLevel="0" collapsed="false">
      <c r="A11" s="13" t="s">
        <v>80</v>
      </c>
      <c r="B11" s="13" t="s">
        <v>96</v>
      </c>
      <c r="C11" s="13" t="s">
        <v>103</v>
      </c>
      <c r="D11" s="13" t="s">
        <v>104</v>
      </c>
      <c r="E11" s="13" t="s">
        <v>84</v>
      </c>
      <c r="F11" s="13"/>
      <c r="G11" s="13"/>
      <c r="H11" s="13"/>
      <c r="I11" s="13"/>
      <c r="J11" s="13"/>
      <c r="K11" s="13"/>
      <c r="L11" s="13"/>
      <c r="M11" s="13"/>
      <c r="N11" s="13"/>
      <c r="O11" s="13" t="s">
        <v>85</v>
      </c>
    </row>
    <row r="12" customFormat="false" ht="15" hidden="false" customHeight="false" outlineLevel="0" collapsed="false">
      <c r="A12" s="13" t="s">
        <v>80</v>
      </c>
      <c r="B12" s="13" t="s">
        <v>96</v>
      </c>
      <c r="C12" s="13" t="s">
        <v>105</v>
      </c>
      <c r="D12" s="13" t="s">
        <v>106</v>
      </c>
      <c r="E12" s="13" t="s">
        <v>84</v>
      </c>
      <c r="F12" s="13"/>
      <c r="G12" s="13"/>
      <c r="H12" s="13"/>
      <c r="I12" s="13"/>
      <c r="J12" s="13"/>
      <c r="K12" s="13"/>
      <c r="L12" s="13"/>
      <c r="M12" s="13"/>
      <c r="N12" s="13"/>
      <c r="O12" s="13" t="s">
        <v>85</v>
      </c>
    </row>
    <row r="13" customFormat="false" ht="15" hidden="false" customHeight="false" outlineLevel="0" collapsed="false">
      <c r="A13" s="13" t="s">
        <v>80</v>
      </c>
      <c r="B13" s="13" t="s">
        <v>107</v>
      </c>
      <c r="C13" s="13" t="s">
        <v>108</v>
      </c>
      <c r="D13" s="13" t="s">
        <v>109</v>
      </c>
      <c r="E13" s="13" t="s">
        <v>84</v>
      </c>
      <c r="F13" s="13"/>
      <c r="G13" s="13"/>
      <c r="H13" s="13"/>
      <c r="I13" s="13"/>
      <c r="J13" s="13"/>
      <c r="K13" s="13"/>
      <c r="L13" s="13"/>
      <c r="M13" s="13"/>
      <c r="N13" s="13"/>
      <c r="O13" s="13" t="s">
        <v>85</v>
      </c>
    </row>
    <row r="14" customFormat="false" ht="15" hidden="false" customHeight="false" outlineLevel="0" collapsed="false">
      <c r="A14" s="13" t="s">
        <v>80</v>
      </c>
      <c r="B14" s="13" t="s">
        <v>107</v>
      </c>
      <c r="C14" s="13" t="s">
        <v>110</v>
      </c>
      <c r="D14" s="13" t="s">
        <v>111</v>
      </c>
      <c r="E14" s="13" t="s">
        <v>84</v>
      </c>
      <c r="F14" s="13"/>
      <c r="G14" s="13"/>
      <c r="H14" s="13"/>
      <c r="I14" s="13"/>
      <c r="J14" s="13"/>
      <c r="K14" s="13"/>
      <c r="L14" s="13"/>
      <c r="M14" s="13"/>
      <c r="N14" s="13"/>
      <c r="O14" s="13" t="s">
        <v>85</v>
      </c>
    </row>
    <row r="15" customFormat="false" ht="15" hidden="false" customHeight="false" outlineLevel="0" collapsed="false">
      <c r="A15" s="13" t="s">
        <v>80</v>
      </c>
      <c r="B15" s="13" t="s">
        <v>107</v>
      </c>
      <c r="C15" s="13" t="s">
        <v>112</v>
      </c>
      <c r="D15" s="13" t="s">
        <v>113</v>
      </c>
      <c r="E15" s="13" t="s">
        <v>84</v>
      </c>
      <c r="F15" s="13"/>
      <c r="G15" s="13"/>
      <c r="H15" s="13"/>
      <c r="I15" s="13"/>
      <c r="J15" s="13"/>
      <c r="K15" s="13"/>
      <c r="L15" s="13"/>
      <c r="M15" s="13"/>
      <c r="N15" s="13"/>
      <c r="O15" s="13" t="s">
        <v>85</v>
      </c>
    </row>
    <row r="16" customFormat="false" ht="15" hidden="false" customHeight="false" outlineLevel="0" collapsed="false">
      <c r="A16" s="13" t="s">
        <v>80</v>
      </c>
      <c r="B16" s="13" t="s">
        <v>107</v>
      </c>
      <c r="C16" s="13" t="s">
        <v>114</v>
      </c>
      <c r="D16" s="13" t="s">
        <v>115</v>
      </c>
      <c r="E16" s="13" t="s">
        <v>84</v>
      </c>
      <c r="F16" s="13"/>
      <c r="G16" s="13"/>
      <c r="H16" s="13"/>
      <c r="I16" s="13"/>
      <c r="J16" s="13"/>
      <c r="K16" s="13"/>
      <c r="L16" s="13"/>
      <c r="M16" s="13"/>
      <c r="N16" s="13"/>
      <c r="O16" s="13" t="s">
        <v>85</v>
      </c>
    </row>
    <row r="17" customFormat="false" ht="15" hidden="false" customHeight="false" outlineLevel="0" collapsed="false">
      <c r="A17" s="13" t="s">
        <v>80</v>
      </c>
      <c r="B17" s="13" t="s">
        <v>116</v>
      </c>
      <c r="C17" s="13" t="s">
        <v>117</v>
      </c>
      <c r="D17" s="13" t="s">
        <v>118</v>
      </c>
      <c r="E17" s="13" t="s">
        <v>84</v>
      </c>
      <c r="F17" s="13"/>
      <c r="G17" s="13"/>
      <c r="H17" s="13"/>
      <c r="I17" s="13"/>
      <c r="J17" s="13"/>
      <c r="K17" s="13"/>
      <c r="L17" s="13"/>
      <c r="M17" s="13"/>
      <c r="N17" s="13"/>
      <c r="O17" s="13" t="s">
        <v>85</v>
      </c>
    </row>
    <row r="18" customFormat="false" ht="15" hidden="false" customHeight="false" outlineLevel="0" collapsed="false">
      <c r="A18" s="13" t="s">
        <v>80</v>
      </c>
      <c r="B18" s="13" t="s">
        <v>116</v>
      </c>
      <c r="C18" s="13" t="s">
        <v>119</v>
      </c>
      <c r="D18" s="13" t="s">
        <v>120</v>
      </c>
      <c r="E18" s="13" t="s">
        <v>84</v>
      </c>
      <c r="F18" s="13"/>
      <c r="G18" s="13"/>
      <c r="H18" s="13"/>
      <c r="I18" s="13"/>
      <c r="J18" s="13"/>
      <c r="K18" s="13"/>
      <c r="L18" s="13"/>
      <c r="M18" s="13"/>
      <c r="N18" s="13"/>
      <c r="O18" s="13" t="s">
        <v>85</v>
      </c>
    </row>
    <row r="19" customFormat="false" ht="15" hidden="false" customHeight="false" outlineLevel="0" collapsed="false">
      <c r="A19" s="13" t="s">
        <v>80</v>
      </c>
      <c r="B19" s="13" t="s">
        <v>116</v>
      </c>
      <c r="C19" s="13" t="s">
        <v>121</v>
      </c>
      <c r="D19" s="13" t="s">
        <v>122</v>
      </c>
      <c r="E19" s="13" t="s">
        <v>84</v>
      </c>
      <c r="F19" s="13"/>
      <c r="G19" s="13"/>
      <c r="H19" s="13"/>
      <c r="I19" s="13"/>
      <c r="J19" s="13"/>
      <c r="K19" s="13"/>
      <c r="L19" s="13"/>
      <c r="M19" s="13"/>
      <c r="N19" s="13"/>
      <c r="O19" s="13" t="s">
        <v>85</v>
      </c>
    </row>
    <row r="20" customFormat="false" ht="15" hidden="false" customHeight="false" outlineLevel="0" collapsed="false">
      <c r="A20" s="13" t="s">
        <v>80</v>
      </c>
      <c r="B20" s="13" t="s">
        <v>116</v>
      </c>
      <c r="C20" s="13" t="s">
        <v>123</v>
      </c>
      <c r="D20" s="13" t="s">
        <v>124</v>
      </c>
      <c r="E20" s="13" t="s">
        <v>84</v>
      </c>
      <c r="F20" s="13"/>
      <c r="G20" s="13"/>
      <c r="H20" s="13"/>
      <c r="I20" s="13"/>
      <c r="J20" s="13"/>
      <c r="K20" s="13"/>
      <c r="L20" s="13"/>
      <c r="M20" s="13"/>
      <c r="N20" s="13"/>
      <c r="O20" s="13" t="s">
        <v>85</v>
      </c>
    </row>
    <row r="21" customFormat="false" ht="15" hidden="false" customHeight="false" outlineLevel="0" collapsed="false">
      <c r="A21" s="13" t="s">
        <v>80</v>
      </c>
      <c r="B21" s="13" t="s">
        <v>125</v>
      </c>
      <c r="C21" s="13" t="s">
        <v>126</v>
      </c>
      <c r="D21" s="13" t="s">
        <v>127</v>
      </c>
      <c r="E21" s="13" t="s">
        <v>84</v>
      </c>
      <c r="F21" s="13"/>
      <c r="G21" s="13"/>
      <c r="H21" s="13"/>
      <c r="I21" s="13"/>
      <c r="J21" s="13"/>
      <c r="K21" s="13"/>
      <c r="L21" s="13"/>
      <c r="M21" s="13"/>
      <c r="N21" s="13"/>
      <c r="O21" s="13" t="s">
        <v>85</v>
      </c>
    </row>
    <row r="22" customFormat="false" ht="15" hidden="false" customHeight="false" outlineLevel="0" collapsed="false">
      <c r="A22" s="13" t="s">
        <v>80</v>
      </c>
      <c r="B22" s="13" t="s">
        <v>125</v>
      </c>
      <c r="C22" s="13" t="s">
        <v>128</v>
      </c>
      <c r="D22" s="13" t="s">
        <v>129</v>
      </c>
      <c r="E22" s="13" t="s">
        <v>84</v>
      </c>
      <c r="F22" s="13"/>
      <c r="G22" s="13"/>
      <c r="H22" s="13"/>
      <c r="I22" s="13"/>
      <c r="J22" s="13"/>
      <c r="K22" s="13"/>
      <c r="L22" s="13"/>
      <c r="M22" s="13"/>
      <c r="N22" s="13"/>
      <c r="O22" s="13" t="s">
        <v>85</v>
      </c>
    </row>
    <row r="23" customFormat="false" ht="15" hidden="false" customHeight="false" outlineLevel="0" collapsed="false">
      <c r="A23" s="13" t="s">
        <v>80</v>
      </c>
      <c r="B23" s="13" t="s">
        <v>125</v>
      </c>
      <c r="C23" s="13" t="s">
        <v>130</v>
      </c>
      <c r="D23" s="13" t="s">
        <v>131</v>
      </c>
      <c r="E23" s="13" t="s">
        <v>84</v>
      </c>
      <c r="F23" s="13"/>
      <c r="G23" s="13"/>
      <c r="H23" s="13"/>
      <c r="I23" s="13"/>
      <c r="J23" s="13"/>
      <c r="K23" s="13"/>
      <c r="L23" s="13"/>
      <c r="M23" s="13"/>
      <c r="N23" s="13"/>
      <c r="O23" s="13" t="s">
        <v>85</v>
      </c>
    </row>
    <row r="24" customFormat="false" ht="15" hidden="false" customHeight="false" outlineLevel="0" collapsed="false">
      <c r="A24" s="13" t="s">
        <v>80</v>
      </c>
      <c r="B24" s="13" t="s">
        <v>125</v>
      </c>
      <c r="C24" s="13" t="s">
        <v>132</v>
      </c>
      <c r="D24" s="13" t="s">
        <v>133</v>
      </c>
      <c r="E24" s="13" t="s">
        <v>84</v>
      </c>
      <c r="F24" s="13"/>
      <c r="G24" s="13"/>
      <c r="H24" s="13"/>
      <c r="I24" s="13"/>
      <c r="J24" s="13"/>
      <c r="K24" s="13"/>
      <c r="L24" s="13"/>
      <c r="M24" s="13"/>
      <c r="N24" s="13"/>
      <c r="O24" s="13" t="s">
        <v>85</v>
      </c>
    </row>
    <row r="25" customFormat="false" ht="15" hidden="false" customHeight="false" outlineLevel="0" collapsed="false">
      <c r="A25" s="13" t="s">
        <v>80</v>
      </c>
      <c r="B25" s="13" t="s">
        <v>134</v>
      </c>
      <c r="C25" s="13" t="s">
        <v>135</v>
      </c>
      <c r="D25" s="13" t="s">
        <v>136</v>
      </c>
      <c r="E25" s="13" t="s">
        <v>84</v>
      </c>
      <c r="F25" s="13"/>
      <c r="G25" s="13"/>
      <c r="H25" s="13"/>
      <c r="I25" s="13"/>
      <c r="J25" s="13"/>
      <c r="K25" s="13"/>
      <c r="L25" s="13"/>
      <c r="M25" s="13"/>
      <c r="N25" s="13"/>
      <c r="O25" s="13" t="s">
        <v>85</v>
      </c>
    </row>
    <row r="26" customFormat="false" ht="15" hidden="false" customHeight="false" outlineLevel="0" collapsed="false">
      <c r="A26" s="13" t="s">
        <v>80</v>
      </c>
      <c r="B26" s="13" t="s">
        <v>134</v>
      </c>
      <c r="C26" s="13" t="s">
        <v>137</v>
      </c>
      <c r="D26" s="13" t="s">
        <v>138</v>
      </c>
      <c r="E26" s="13" t="s">
        <v>84</v>
      </c>
      <c r="F26" s="13"/>
      <c r="G26" s="13"/>
      <c r="H26" s="13"/>
      <c r="I26" s="13"/>
      <c r="J26" s="13"/>
      <c r="K26" s="13"/>
      <c r="L26" s="13"/>
      <c r="M26" s="13"/>
      <c r="N26" s="13"/>
      <c r="O26" s="13" t="s">
        <v>85</v>
      </c>
    </row>
    <row r="27" customFormat="false" ht="15" hidden="false" customHeight="false" outlineLevel="0" collapsed="false">
      <c r="A27" s="13" t="s">
        <v>80</v>
      </c>
      <c r="B27" s="13" t="s">
        <v>134</v>
      </c>
      <c r="C27" s="13" t="s">
        <v>139</v>
      </c>
      <c r="D27" s="13" t="s">
        <v>140</v>
      </c>
      <c r="E27" s="13" t="s">
        <v>84</v>
      </c>
      <c r="F27" s="13"/>
      <c r="G27" s="13"/>
      <c r="H27" s="13"/>
      <c r="I27" s="13"/>
      <c r="J27" s="13"/>
      <c r="K27" s="13"/>
      <c r="L27" s="13"/>
      <c r="M27" s="13"/>
      <c r="N27" s="13"/>
      <c r="O27" s="13" t="s">
        <v>85</v>
      </c>
    </row>
    <row r="28" customFormat="false" ht="15" hidden="false" customHeight="false" outlineLevel="0" collapsed="false">
      <c r="A28" s="13" t="s">
        <v>80</v>
      </c>
      <c r="B28" s="13" t="s">
        <v>141</v>
      </c>
      <c r="C28" s="13" t="s">
        <v>142</v>
      </c>
      <c r="D28" s="13" t="s">
        <v>143</v>
      </c>
      <c r="E28" s="13" t="s">
        <v>84</v>
      </c>
      <c r="F28" s="13"/>
      <c r="G28" s="13"/>
      <c r="H28" s="13"/>
      <c r="I28" s="13"/>
      <c r="J28" s="13"/>
      <c r="K28" s="13"/>
      <c r="L28" s="13"/>
      <c r="M28" s="13"/>
      <c r="N28" s="13"/>
      <c r="O28" s="13" t="s">
        <v>85</v>
      </c>
    </row>
    <row r="29" customFormat="false" ht="15" hidden="false" customHeight="false" outlineLevel="0" collapsed="false">
      <c r="A29" s="13" t="s">
        <v>80</v>
      </c>
      <c r="B29" s="13" t="s">
        <v>141</v>
      </c>
      <c r="C29" s="13" t="s">
        <v>144</v>
      </c>
      <c r="D29" s="13" t="s">
        <v>145</v>
      </c>
      <c r="E29" s="13" t="s">
        <v>84</v>
      </c>
      <c r="F29" s="13"/>
      <c r="G29" s="13"/>
      <c r="H29" s="13"/>
      <c r="I29" s="13"/>
      <c r="J29" s="13"/>
      <c r="K29" s="13"/>
      <c r="L29" s="13"/>
      <c r="M29" s="13"/>
      <c r="N29" s="13"/>
      <c r="O29" s="13" t="s">
        <v>85</v>
      </c>
    </row>
    <row r="30" customFormat="false" ht="15" hidden="false" customHeight="false" outlineLevel="0" collapsed="false">
      <c r="A30" s="13" t="s">
        <v>80</v>
      </c>
      <c r="B30" s="13" t="s">
        <v>141</v>
      </c>
      <c r="C30" s="13" t="s">
        <v>146</v>
      </c>
      <c r="D30" s="13" t="s">
        <v>147</v>
      </c>
      <c r="E30" s="13" t="s">
        <v>84</v>
      </c>
      <c r="F30" s="13"/>
      <c r="G30" s="13"/>
      <c r="H30" s="13"/>
      <c r="I30" s="13"/>
      <c r="J30" s="13"/>
      <c r="K30" s="13"/>
      <c r="L30" s="13"/>
      <c r="M30" s="13"/>
      <c r="N30" s="13"/>
      <c r="O30" s="13" t="s">
        <v>85</v>
      </c>
    </row>
    <row r="31" customFormat="false" ht="15" hidden="false" customHeight="false" outlineLevel="0" collapsed="false">
      <c r="A31" s="13" t="s">
        <v>80</v>
      </c>
      <c r="B31" s="13" t="s">
        <v>141</v>
      </c>
      <c r="C31" s="13" t="s">
        <v>148</v>
      </c>
      <c r="D31" s="13" t="s">
        <v>149</v>
      </c>
      <c r="E31" s="13" t="s">
        <v>84</v>
      </c>
      <c r="F31" s="13"/>
      <c r="G31" s="13"/>
      <c r="H31" s="13"/>
      <c r="I31" s="13"/>
      <c r="J31" s="13"/>
      <c r="K31" s="13"/>
      <c r="L31" s="13"/>
      <c r="M31" s="13"/>
      <c r="N31" s="13"/>
      <c r="O31" s="13" t="s">
        <v>85</v>
      </c>
    </row>
    <row r="32" customFormat="false" ht="15" hidden="false" customHeight="false" outlineLevel="0" collapsed="false">
      <c r="A32" s="13" t="s">
        <v>80</v>
      </c>
      <c r="B32" s="13" t="s">
        <v>141</v>
      </c>
      <c r="C32" s="13" t="s">
        <v>150</v>
      </c>
      <c r="D32" s="13" t="s">
        <v>151</v>
      </c>
      <c r="E32" s="13" t="s">
        <v>84</v>
      </c>
      <c r="F32" s="13"/>
      <c r="G32" s="13"/>
      <c r="H32" s="13"/>
      <c r="I32" s="13"/>
      <c r="J32" s="13"/>
      <c r="K32" s="13"/>
      <c r="L32" s="13"/>
      <c r="M32" s="13"/>
      <c r="N32" s="13"/>
      <c r="O32" s="13" t="s">
        <v>85</v>
      </c>
    </row>
    <row r="33" customFormat="false" ht="15" hidden="false" customHeight="false" outlineLevel="0" collapsed="false">
      <c r="A33" s="13" t="s">
        <v>80</v>
      </c>
      <c r="B33" s="13" t="s">
        <v>152</v>
      </c>
      <c r="C33" s="13" t="s">
        <v>153</v>
      </c>
      <c r="D33" s="13" t="s">
        <v>154</v>
      </c>
      <c r="E33" s="13" t="s">
        <v>84</v>
      </c>
      <c r="F33" s="13"/>
      <c r="G33" s="13"/>
      <c r="H33" s="13"/>
      <c r="I33" s="13"/>
      <c r="J33" s="13"/>
      <c r="K33" s="13"/>
      <c r="L33" s="13"/>
      <c r="M33" s="13"/>
      <c r="N33" s="13"/>
      <c r="O33" s="13" t="s">
        <v>85</v>
      </c>
    </row>
    <row r="34" customFormat="false" ht="15" hidden="false" customHeight="false" outlineLevel="0" collapsed="false">
      <c r="A34" s="13" t="s">
        <v>80</v>
      </c>
      <c r="B34" s="13" t="s">
        <v>152</v>
      </c>
      <c r="C34" s="13" t="s">
        <v>155</v>
      </c>
      <c r="D34" s="13" t="s">
        <v>156</v>
      </c>
      <c r="E34" s="13" t="s">
        <v>84</v>
      </c>
      <c r="F34" s="13"/>
      <c r="G34" s="13"/>
      <c r="H34" s="13"/>
      <c r="I34" s="13"/>
      <c r="J34" s="13"/>
      <c r="K34" s="13"/>
      <c r="L34" s="13"/>
      <c r="M34" s="13"/>
      <c r="N34" s="13"/>
      <c r="O34" s="13" t="s">
        <v>85</v>
      </c>
    </row>
    <row r="35" customFormat="false" ht="15" hidden="false" customHeight="false" outlineLevel="0" collapsed="false">
      <c r="A35" s="13" t="s">
        <v>80</v>
      </c>
      <c r="B35" s="13" t="s">
        <v>152</v>
      </c>
      <c r="C35" s="13" t="s">
        <v>157</v>
      </c>
      <c r="D35" s="13" t="s">
        <v>158</v>
      </c>
      <c r="E35" s="13" t="s">
        <v>84</v>
      </c>
      <c r="F35" s="13"/>
      <c r="G35" s="13"/>
      <c r="H35" s="13"/>
      <c r="I35" s="13"/>
      <c r="J35" s="13"/>
      <c r="K35" s="13"/>
      <c r="L35" s="13"/>
      <c r="M35" s="13"/>
      <c r="N35" s="13"/>
      <c r="O35" s="13" t="s">
        <v>85</v>
      </c>
    </row>
    <row r="36" customFormat="false" ht="15" hidden="false" customHeight="false" outlineLevel="0" collapsed="false">
      <c r="A36" s="13" t="s">
        <v>80</v>
      </c>
      <c r="B36" s="13" t="s">
        <v>152</v>
      </c>
      <c r="C36" s="13" t="s">
        <v>159</v>
      </c>
      <c r="D36" s="13" t="s">
        <v>160</v>
      </c>
      <c r="E36" s="13" t="s">
        <v>84</v>
      </c>
      <c r="F36" s="13"/>
      <c r="G36" s="13"/>
      <c r="H36" s="13"/>
      <c r="I36" s="13"/>
      <c r="J36" s="13"/>
      <c r="K36" s="13"/>
      <c r="L36" s="13"/>
      <c r="M36" s="13"/>
      <c r="N36" s="13"/>
      <c r="O36" s="13" t="s">
        <v>85</v>
      </c>
    </row>
    <row r="37" customFormat="false" ht="15" hidden="false" customHeight="false" outlineLevel="0" collapsed="false">
      <c r="A37" s="13" t="s">
        <v>80</v>
      </c>
      <c r="B37" s="13" t="s">
        <v>161</v>
      </c>
      <c r="C37" s="13" t="s">
        <v>162</v>
      </c>
      <c r="D37" s="13" t="s">
        <v>163</v>
      </c>
      <c r="E37" s="13" t="s">
        <v>84</v>
      </c>
      <c r="F37" s="13"/>
      <c r="G37" s="13"/>
      <c r="H37" s="13"/>
      <c r="I37" s="13"/>
      <c r="J37" s="13"/>
      <c r="K37" s="13"/>
      <c r="L37" s="13"/>
      <c r="M37" s="13"/>
      <c r="N37" s="13"/>
      <c r="O37" s="13" t="s">
        <v>85</v>
      </c>
    </row>
    <row r="38" customFormat="false" ht="15" hidden="false" customHeight="false" outlineLevel="0" collapsed="false">
      <c r="A38" s="13" t="s">
        <v>80</v>
      </c>
      <c r="B38" s="13" t="s">
        <v>161</v>
      </c>
      <c r="C38" s="13" t="s">
        <v>164</v>
      </c>
      <c r="D38" s="13" t="s">
        <v>165</v>
      </c>
      <c r="E38" s="13" t="s">
        <v>84</v>
      </c>
      <c r="F38" s="13"/>
      <c r="G38" s="13"/>
      <c r="H38" s="13"/>
      <c r="I38" s="13"/>
      <c r="J38" s="13"/>
      <c r="K38" s="13"/>
      <c r="L38" s="13"/>
      <c r="M38" s="13"/>
      <c r="N38" s="13"/>
      <c r="O38" s="13" t="s">
        <v>85</v>
      </c>
    </row>
    <row r="39" customFormat="false" ht="15" hidden="false" customHeight="false" outlineLevel="0" collapsed="false">
      <c r="A39" s="13" t="s">
        <v>80</v>
      </c>
      <c r="B39" s="13" t="s">
        <v>161</v>
      </c>
      <c r="C39" s="13" t="s">
        <v>166</v>
      </c>
      <c r="D39" s="13" t="s">
        <v>167</v>
      </c>
      <c r="E39" s="13" t="s">
        <v>84</v>
      </c>
      <c r="F39" s="13"/>
      <c r="G39" s="13"/>
      <c r="H39" s="13"/>
      <c r="I39" s="13"/>
      <c r="J39" s="13"/>
      <c r="K39" s="13"/>
      <c r="L39" s="13"/>
      <c r="M39" s="13"/>
      <c r="N39" s="13"/>
      <c r="O39" s="13" t="s">
        <v>85</v>
      </c>
    </row>
    <row r="40" customFormat="false" ht="15" hidden="false" customHeight="false" outlineLevel="0" collapsed="false">
      <c r="A40" s="13" t="s">
        <v>80</v>
      </c>
      <c r="B40" s="13" t="s">
        <v>161</v>
      </c>
      <c r="C40" s="13" t="s">
        <v>168</v>
      </c>
      <c r="D40" s="13" t="s">
        <v>169</v>
      </c>
      <c r="E40" s="13" t="s">
        <v>84</v>
      </c>
      <c r="F40" s="13"/>
      <c r="G40" s="13"/>
      <c r="H40" s="13"/>
      <c r="I40" s="13"/>
      <c r="J40" s="13"/>
      <c r="K40" s="13"/>
      <c r="L40" s="13"/>
      <c r="M40" s="13"/>
      <c r="N40" s="13"/>
      <c r="O40" s="13" t="s">
        <v>85</v>
      </c>
    </row>
    <row r="41" customFormat="false" ht="15" hidden="false" customHeight="false" outlineLevel="0" collapsed="false">
      <c r="A41" s="13" t="s">
        <v>80</v>
      </c>
      <c r="B41" s="13" t="s">
        <v>170</v>
      </c>
      <c r="C41" s="13" t="s">
        <v>171</v>
      </c>
      <c r="D41" s="13" t="s">
        <v>172</v>
      </c>
      <c r="E41" s="13" t="s">
        <v>84</v>
      </c>
      <c r="F41" s="13"/>
      <c r="G41" s="13"/>
      <c r="H41" s="13"/>
      <c r="I41" s="13"/>
      <c r="J41" s="13"/>
      <c r="K41" s="13"/>
      <c r="L41" s="13"/>
      <c r="M41" s="13"/>
      <c r="N41" s="13"/>
      <c r="O41" s="13" t="s">
        <v>85</v>
      </c>
    </row>
    <row r="42" customFormat="false" ht="15" hidden="false" customHeight="false" outlineLevel="0" collapsed="false">
      <c r="A42" s="13" t="s">
        <v>80</v>
      </c>
      <c r="B42" s="13" t="s">
        <v>170</v>
      </c>
      <c r="C42" s="13" t="s">
        <v>173</v>
      </c>
      <c r="D42" s="13" t="s">
        <v>174</v>
      </c>
      <c r="E42" s="13" t="s">
        <v>84</v>
      </c>
      <c r="F42" s="13"/>
      <c r="G42" s="13"/>
      <c r="H42" s="13"/>
      <c r="I42" s="13"/>
      <c r="J42" s="13"/>
      <c r="K42" s="13"/>
      <c r="L42" s="13"/>
      <c r="M42" s="13"/>
      <c r="N42" s="13"/>
      <c r="O42" s="13" t="s">
        <v>85</v>
      </c>
    </row>
    <row r="43" customFormat="false" ht="15" hidden="false" customHeight="false" outlineLevel="0" collapsed="false">
      <c r="A43" s="13" t="s">
        <v>80</v>
      </c>
      <c r="B43" s="13" t="s">
        <v>170</v>
      </c>
      <c r="C43" s="13" t="s">
        <v>175</v>
      </c>
      <c r="D43" s="13" t="s">
        <v>176</v>
      </c>
      <c r="E43" s="13" t="s">
        <v>84</v>
      </c>
      <c r="F43" s="13"/>
      <c r="G43" s="13"/>
      <c r="H43" s="13"/>
      <c r="I43" s="13"/>
      <c r="J43" s="13"/>
      <c r="K43" s="13"/>
      <c r="L43" s="13"/>
      <c r="M43" s="13"/>
      <c r="N43" s="13"/>
      <c r="O43" s="13" t="s">
        <v>85</v>
      </c>
    </row>
    <row r="44" customFormat="false" ht="15" hidden="false" customHeight="false" outlineLevel="0" collapsed="false">
      <c r="A44" s="13" t="s">
        <v>80</v>
      </c>
      <c r="B44" s="13" t="s">
        <v>170</v>
      </c>
      <c r="C44" s="13" t="s">
        <v>177</v>
      </c>
      <c r="D44" s="13" t="s">
        <v>178</v>
      </c>
      <c r="E44" s="13" t="s">
        <v>84</v>
      </c>
      <c r="F44" s="13"/>
      <c r="G44" s="13"/>
      <c r="H44" s="13"/>
      <c r="I44" s="13"/>
      <c r="J44" s="13"/>
      <c r="K44" s="13"/>
      <c r="L44" s="13"/>
      <c r="M44" s="13"/>
      <c r="N44" s="13"/>
      <c r="O44" s="13" t="s">
        <v>85</v>
      </c>
    </row>
    <row r="45" customFormat="false" ht="15" hidden="false" customHeight="false" outlineLevel="0" collapsed="false">
      <c r="A45" s="13" t="s">
        <v>80</v>
      </c>
      <c r="B45" s="13" t="s">
        <v>170</v>
      </c>
      <c r="C45" s="13" t="s">
        <v>179</v>
      </c>
      <c r="D45" s="13" t="s">
        <v>180</v>
      </c>
      <c r="E45" s="13" t="s">
        <v>84</v>
      </c>
      <c r="F45" s="13"/>
      <c r="G45" s="13"/>
      <c r="H45" s="13"/>
      <c r="I45" s="13"/>
      <c r="J45" s="13"/>
      <c r="K45" s="13"/>
      <c r="L45" s="13"/>
      <c r="M45" s="13"/>
      <c r="N45" s="13"/>
      <c r="O45" s="13" t="s">
        <v>85</v>
      </c>
    </row>
    <row r="46" customFormat="false" ht="15" hidden="false" customHeight="false" outlineLevel="0" collapsed="false">
      <c r="A46" s="13" t="s">
        <v>181</v>
      </c>
      <c r="B46" s="13" t="s">
        <v>81</v>
      </c>
      <c r="C46" s="13" t="s">
        <v>82</v>
      </c>
      <c r="D46" s="13" t="s">
        <v>83</v>
      </c>
      <c r="E46" s="13" t="s">
        <v>84</v>
      </c>
      <c r="F46" s="13"/>
      <c r="G46" s="13"/>
      <c r="H46" s="13"/>
      <c r="I46" s="13"/>
      <c r="J46" s="13"/>
      <c r="K46" s="13"/>
      <c r="L46" s="13"/>
      <c r="M46" s="13"/>
      <c r="N46" s="13"/>
      <c r="O46" s="13" t="s">
        <v>85</v>
      </c>
    </row>
    <row r="47" customFormat="false" ht="15" hidden="false" customHeight="false" outlineLevel="0" collapsed="false">
      <c r="A47" s="13" t="s">
        <v>181</v>
      </c>
      <c r="B47" s="13" t="s">
        <v>81</v>
      </c>
      <c r="C47" s="13" t="s">
        <v>86</v>
      </c>
      <c r="D47" s="13" t="s">
        <v>87</v>
      </c>
      <c r="E47" s="13" t="s">
        <v>84</v>
      </c>
      <c r="F47" s="13"/>
      <c r="G47" s="13"/>
      <c r="H47" s="13"/>
      <c r="I47" s="13"/>
      <c r="J47" s="13"/>
      <c r="K47" s="13"/>
      <c r="L47" s="13"/>
      <c r="M47" s="13"/>
      <c r="N47" s="13"/>
      <c r="O47" s="13" t="s">
        <v>85</v>
      </c>
    </row>
    <row r="48" customFormat="false" ht="15" hidden="false" customHeight="false" outlineLevel="0" collapsed="false">
      <c r="A48" s="13" t="s">
        <v>181</v>
      </c>
      <c r="B48" s="13" t="s">
        <v>81</v>
      </c>
      <c r="C48" s="13" t="s">
        <v>88</v>
      </c>
      <c r="D48" s="13" t="s">
        <v>89</v>
      </c>
      <c r="E48" s="13" t="s">
        <v>84</v>
      </c>
      <c r="F48" s="13"/>
      <c r="G48" s="13"/>
      <c r="H48" s="13"/>
      <c r="I48" s="13"/>
      <c r="J48" s="13"/>
      <c r="K48" s="13"/>
      <c r="L48" s="13"/>
      <c r="M48" s="13"/>
      <c r="N48" s="13"/>
      <c r="O48" s="13" t="s">
        <v>85</v>
      </c>
    </row>
    <row r="49" customFormat="false" ht="15" hidden="false" customHeight="false" outlineLevel="0" collapsed="false">
      <c r="A49" s="13" t="s">
        <v>181</v>
      </c>
      <c r="B49" s="13" t="s">
        <v>81</v>
      </c>
      <c r="C49" s="13" t="s">
        <v>90</v>
      </c>
      <c r="D49" s="13" t="s">
        <v>91</v>
      </c>
      <c r="E49" s="13" t="s">
        <v>84</v>
      </c>
      <c r="F49" s="13"/>
      <c r="G49" s="13"/>
      <c r="H49" s="13"/>
      <c r="I49" s="13"/>
      <c r="J49" s="13"/>
      <c r="K49" s="13"/>
      <c r="L49" s="13"/>
      <c r="M49" s="13"/>
      <c r="N49" s="13"/>
      <c r="O49" s="13" t="s">
        <v>85</v>
      </c>
    </row>
    <row r="50" customFormat="false" ht="15" hidden="false" customHeight="false" outlineLevel="0" collapsed="false">
      <c r="A50" s="13" t="s">
        <v>181</v>
      </c>
      <c r="B50" s="13" t="s">
        <v>81</v>
      </c>
      <c r="C50" s="13" t="s">
        <v>92</v>
      </c>
      <c r="D50" s="13" t="s">
        <v>93</v>
      </c>
      <c r="E50" s="13" t="s">
        <v>84</v>
      </c>
      <c r="F50" s="13"/>
      <c r="G50" s="13"/>
      <c r="H50" s="13"/>
      <c r="I50" s="13"/>
      <c r="J50" s="13"/>
      <c r="K50" s="13"/>
      <c r="L50" s="13"/>
      <c r="M50" s="13"/>
      <c r="N50" s="13"/>
      <c r="O50" s="13" t="s">
        <v>85</v>
      </c>
    </row>
    <row r="51" customFormat="false" ht="15" hidden="false" customHeight="false" outlineLevel="0" collapsed="false">
      <c r="A51" s="13" t="s">
        <v>181</v>
      </c>
      <c r="B51" s="13" t="s">
        <v>81</v>
      </c>
      <c r="C51" s="13" t="s">
        <v>94</v>
      </c>
      <c r="D51" s="13" t="s">
        <v>95</v>
      </c>
      <c r="E51" s="13" t="s">
        <v>84</v>
      </c>
      <c r="F51" s="13"/>
      <c r="G51" s="13"/>
      <c r="H51" s="13"/>
      <c r="I51" s="13"/>
      <c r="J51" s="13"/>
      <c r="K51" s="13"/>
      <c r="L51" s="13"/>
      <c r="M51" s="13"/>
      <c r="N51" s="13"/>
      <c r="O51" s="13" t="s">
        <v>85</v>
      </c>
    </row>
    <row r="52" customFormat="false" ht="46.25" hidden="false" customHeight="false" outlineLevel="0" collapsed="false">
      <c r="A52" s="13" t="s">
        <v>181</v>
      </c>
      <c r="B52" s="13" t="s">
        <v>96</v>
      </c>
      <c r="C52" s="13" t="s">
        <v>97</v>
      </c>
      <c r="D52" s="13" t="s">
        <v>98</v>
      </c>
      <c r="E52" s="13" t="s">
        <v>182</v>
      </c>
      <c r="F52" s="13" t="s">
        <v>183</v>
      </c>
      <c r="G52" s="13" t="s">
        <v>184</v>
      </c>
      <c r="H52" s="13" t="s">
        <v>185</v>
      </c>
      <c r="I52" s="13"/>
      <c r="J52" s="13" t="s">
        <v>186</v>
      </c>
      <c r="K52" s="13" t="s">
        <v>187</v>
      </c>
      <c r="L52" s="13" t="s">
        <v>188</v>
      </c>
      <c r="M52" s="13" t="s">
        <v>189</v>
      </c>
      <c r="N52" s="13"/>
      <c r="O52" s="13" t="s">
        <v>85</v>
      </c>
    </row>
    <row r="53" customFormat="false" ht="35.05" hidden="false" customHeight="false" outlineLevel="0" collapsed="false">
      <c r="A53" s="13" t="s">
        <v>181</v>
      </c>
      <c r="B53" s="13" t="s">
        <v>96</v>
      </c>
      <c r="C53" s="13" t="s">
        <v>99</v>
      </c>
      <c r="D53" s="13" t="s">
        <v>100</v>
      </c>
      <c r="E53" s="13" t="s">
        <v>190</v>
      </c>
      <c r="F53" s="13" t="s">
        <v>191</v>
      </c>
      <c r="G53" s="13" t="s">
        <v>184</v>
      </c>
      <c r="H53" s="13" t="s">
        <v>192</v>
      </c>
      <c r="I53" s="13" t="s">
        <v>193</v>
      </c>
      <c r="J53" s="13" t="s">
        <v>194</v>
      </c>
      <c r="K53" s="13" t="s">
        <v>195</v>
      </c>
      <c r="L53" s="13" t="s">
        <v>196</v>
      </c>
      <c r="M53" s="13" t="s">
        <v>197</v>
      </c>
      <c r="N53" s="13" t="s">
        <v>198</v>
      </c>
      <c r="O53" s="13" t="s">
        <v>85</v>
      </c>
    </row>
    <row r="54" customFormat="false" ht="35.05" hidden="false" customHeight="false" outlineLevel="0" collapsed="false">
      <c r="A54" s="13" t="s">
        <v>181</v>
      </c>
      <c r="B54" s="13" t="s">
        <v>96</v>
      </c>
      <c r="C54" s="13" t="s">
        <v>101</v>
      </c>
      <c r="D54" s="13" t="s">
        <v>102</v>
      </c>
      <c r="E54" s="13" t="s">
        <v>182</v>
      </c>
      <c r="F54" s="13"/>
      <c r="G54" s="13" t="s">
        <v>184</v>
      </c>
      <c r="H54" s="13" t="s">
        <v>199</v>
      </c>
      <c r="I54" s="13"/>
      <c r="J54" s="13" t="s">
        <v>200</v>
      </c>
      <c r="K54" s="13" t="s">
        <v>201</v>
      </c>
      <c r="L54" s="13" t="s">
        <v>202</v>
      </c>
      <c r="M54" s="13" t="s">
        <v>189</v>
      </c>
      <c r="N54" s="13"/>
      <c r="O54" s="13" t="s">
        <v>85</v>
      </c>
    </row>
    <row r="55" customFormat="false" ht="15" hidden="false" customHeight="false" outlineLevel="0" collapsed="false">
      <c r="A55" s="13" t="s">
        <v>181</v>
      </c>
      <c r="B55" s="13" t="s">
        <v>96</v>
      </c>
      <c r="C55" s="13" t="s">
        <v>103</v>
      </c>
      <c r="D55" s="13" t="s">
        <v>104</v>
      </c>
      <c r="E55" s="13" t="s">
        <v>84</v>
      </c>
      <c r="F55" s="13"/>
      <c r="G55" s="13"/>
      <c r="H55" s="13"/>
      <c r="I55" s="13"/>
      <c r="J55" s="13"/>
      <c r="K55" s="13"/>
      <c r="L55" s="13"/>
      <c r="M55" s="13"/>
      <c r="N55" s="13"/>
      <c r="O55" s="13" t="s">
        <v>85</v>
      </c>
    </row>
    <row r="56" customFormat="false" ht="57.45" hidden="false" customHeight="false" outlineLevel="0" collapsed="false">
      <c r="A56" s="13" t="s">
        <v>181</v>
      </c>
      <c r="B56" s="13" t="s">
        <v>96</v>
      </c>
      <c r="C56" s="13" t="s">
        <v>105</v>
      </c>
      <c r="D56" s="13" t="s">
        <v>106</v>
      </c>
      <c r="E56" s="13" t="s">
        <v>190</v>
      </c>
      <c r="F56" s="13" t="s">
        <v>203</v>
      </c>
      <c r="G56" s="13" t="s">
        <v>204</v>
      </c>
      <c r="H56" s="13" t="s">
        <v>205</v>
      </c>
      <c r="I56" s="13"/>
      <c r="J56" s="13" t="s">
        <v>206</v>
      </c>
      <c r="K56" s="13" t="s">
        <v>207</v>
      </c>
      <c r="L56" s="13" t="s">
        <v>208</v>
      </c>
      <c r="M56" s="13" t="s">
        <v>189</v>
      </c>
      <c r="N56" s="13"/>
      <c r="O56" s="13" t="s">
        <v>85</v>
      </c>
    </row>
    <row r="57" customFormat="false" ht="46.25" hidden="false" customHeight="false" outlineLevel="0" collapsed="false">
      <c r="A57" s="13" t="s">
        <v>181</v>
      </c>
      <c r="B57" s="13" t="s">
        <v>107</v>
      </c>
      <c r="C57" s="13" t="s">
        <v>108</v>
      </c>
      <c r="D57" s="13" t="s">
        <v>109</v>
      </c>
      <c r="E57" s="13" t="s">
        <v>182</v>
      </c>
      <c r="F57" s="13" t="s">
        <v>209</v>
      </c>
      <c r="G57" s="13"/>
      <c r="H57" s="13" t="s">
        <v>210</v>
      </c>
      <c r="I57" s="13"/>
      <c r="J57" s="13" t="s">
        <v>211</v>
      </c>
      <c r="K57" s="13" t="s">
        <v>212</v>
      </c>
      <c r="L57" s="13" t="s">
        <v>213</v>
      </c>
      <c r="M57" s="13" t="s">
        <v>197</v>
      </c>
      <c r="N57" s="13"/>
      <c r="O57" s="13" t="s">
        <v>85</v>
      </c>
    </row>
    <row r="58" customFormat="false" ht="46.25" hidden="false" customHeight="false" outlineLevel="0" collapsed="false">
      <c r="A58" s="13" t="s">
        <v>181</v>
      </c>
      <c r="B58" s="13" t="s">
        <v>107</v>
      </c>
      <c r="C58" s="13" t="s">
        <v>110</v>
      </c>
      <c r="D58" s="13" t="s">
        <v>111</v>
      </c>
      <c r="E58" s="13" t="s">
        <v>190</v>
      </c>
      <c r="F58" s="13" t="s">
        <v>191</v>
      </c>
      <c r="G58" s="13"/>
      <c r="H58" s="13" t="s">
        <v>192</v>
      </c>
      <c r="I58" s="13"/>
      <c r="J58" s="13" t="s">
        <v>214</v>
      </c>
      <c r="K58" s="13" t="s">
        <v>215</v>
      </c>
      <c r="L58" s="13" t="s">
        <v>216</v>
      </c>
      <c r="M58" s="13" t="s">
        <v>197</v>
      </c>
      <c r="N58" s="13"/>
      <c r="O58" s="13" t="s">
        <v>85</v>
      </c>
    </row>
    <row r="59" customFormat="false" ht="35.05" hidden="false" customHeight="false" outlineLevel="0" collapsed="false">
      <c r="A59" s="13" t="s">
        <v>181</v>
      </c>
      <c r="B59" s="13" t="s">
        <v>107</v>
      </c>
      <c r="C59" s="13" t="s">
        <v>112</v>
      </c>
      <c r="D59" s="13" t="s">
        <v>113</v>
      </c>
      <c r="E59" s="13" t="s">
        <v>217</v>
      </c>
      <c r="F59" s="13" t="s">
        <v>218</v>
      </c>
      <c r="G59" s="13"/>
      <c r="H59" s="13" t="s">
        <v>219</v>
      </c>
      <c r="I59" s="13"/>
      <c r="J59" s="13" t="s">
        <v>220</v>
      </c>
      <c r="K59" s="13" t="s">
        <v>221</v>
      </c>
      <c r="L59" s="13" t="s">
        <v>222</v>
      </c>
      <c r="M59" s="13" t="s">
        <v>189</v>
      </c>
      <c r="N59" s="13"/>
      <c r="O59" s="13" t="s">
        <v>85</v>
      </c>
    </row>
    <row r="60" customFormat="false" ht="35.05" hidden="false" customHeight="false" outlineLevel="0" collapsed="false">
      <c r="A60" s="13" t="s">
        <v>181</v>
      </c>
      <c r="B60" s="13" t="s">
        <v>107</v>
      </c>
      <c r="C60" s="13" t="s">
        <v>114</v>
      </c>
      <c r="D60" s="13" t="s">
        <v>115</v>
      </c>
      <c r="E60" s="13" t="s">
        <v>217</v>
      </c>
      <c r="F60" s="13" t="s">
        <v>223</v>
      </c>
      <c r="G60" s="13"/>
      <c r="H60" s="13" t="s">
        <v>224</v>
      </c>
      <c r="I60" s="13"/>
      <c r="J60" s="13" t="s">
        <v>225</v>
      </c>
      <c r="K60" s="13" t="s">
        <v>226</v>
      </c>
      <c r="L60" s="13" t="s">
        <v>227</v>
      </c>
      <c r="M60" s="13" t="s">
        <v>189</v>
      </c>
      <c r="N60" s="13"/>
      <c r="O60" s="13" t="s">
        <v>85</v>
      </c>
    </row>
    <row r="61" customFormat="false" ht="35.05" hidden="false" customHeight="false" outlineLevel="0" collapsed="false">
      <c r="A61" s="13" t="s">
        <v>181</v>
      </c>
      <c r="B61" s="13" t="s">
        <v>107</v>
      </c>
      <c r="C61" s="13" t="s">
        <v>228</v>
      </c>
      <c r="D61" s="13" t="s">
        <v>229</v>
      </c>
      <c r="E61" s="13" t="s">
        <v>217</v>
      </c>
      <c r="F61" s="13" t="s">
        <v>230</v>
      </c>
      <c r="G61" s="13"/>
      <c r="H61" s="13" t="s">
        <v>231</v>
      </c>
      <c r="I61" s="13"/>
      <c r="J61" s="13" t="s">
        <v>232</v>
      </c>
      <c r="K61" s="13" t="s">
        <v>233</v>
      </c>
      <c r="L61" s="13" t="s">
        <v>234</v>
      </c>
      <c r="M61" s="13" t="s">
        <v>197</v>
      </c>
      <c r="N61" s="13" t="s">
        <v>235</v>
      </c>
      <c r="O61" s="13" t="s">
        <v>236</v>
      </c>
    </row>
    <row r="62" customFormat="false" ht="46.25" hidden="false" customHeight="false" outlineLevel="0" collapsed="false">
      <c r="A62" s="13" t="s">
        <v>181</v>
      </c>
      <c r="B62" s="13" t="s">
        <v>116</v>
      </c>
      <c r="C62" s="13" t="s">
        <v>117</v>
      </c>
      <c r="D62" s="13" t="s">
        <v>118</v>
      </c>
      <c r="E62" s="13" t="s">
        <v>182</v>
      </c>
      <c r="F62" s="13" t="s">
        <v>237</v>
      </c>
      <c r="G62" s="13"/>
      <c r="H62" s="13" t="s">
        <v>238</v>
      </c>
      <c r="I62" s="13"/>
      <c r="J62" s="13" t="s">
        <v>239</v>
      </c>
      <c r="K62" s="13" t="s">
        <v>240</v>
      </c>
      <c r="L62" s="13" t="s">
        <v>241</v>
      </c>
      <c r="M62" s="13" t="s">
        <v>197</v>
      </c>
      <c r="N62" s="13"/>
      <c r="O62" s="13" t="s">
        <v>85</v>
      </c>
    </row>
    <row r="63" customFormat="false" ht="35.05" hidden="false" customHeight="false" outlineLevel="0" collapsed="false">
      <c r="A63" s="13" t="s">
        <v>181</v>
      </c>
      <c r="B63" s="13" t="s">
        <v>116</v>
      </c>
      <c r="C63" s="13" t="s">
        <v>119</v>
      </c>
      <c r="D63" s="13" t="s">
        <v>120</v>
      </c>
      <c r="E63" s="13" t="s">
        <v>182</v>
      </c>
      <c r="F63" s="13" t="s">
        <v>242</v>
      </c>
      <c r="G63" s="13"/>
      <c r="H63" s="13" t="s">
        <v>238</v>
      </c>
      <c r="I63" s="13"/>
      <c r="J63" s="13" t="s">
        <v>243</v>
      </c>
      <c r="K63" s="13" t="s">
        <v>244</v>
      </c>
      <c r="L63" s="13" t="s">
        <v>245</v>
      </c>
      <c r="M63" s="13" t="s">
        <v>189</v>
      </c>
      <c r="N63" s="13"/>
      <c r="O63" s="13" t="s">
        <v>85</v>
      </c>
    </row>
    <row r="64" customFormat="false" ht="46.25" hidden="false" customHeight="false" outlineLevel="0" collapsed="false">
      <c r="A64" s="13" t="s">
        <v>181</v>
      </c>
      <c r="B64" s="13" t="s">
        <v>116</v>
      </c>
      <c r="C64" s="13" t="s">
        <v>121</v>
      </c>
      <c r="D64" s="13" t="s">
        <v>122</v>
      </c>
      <c r="E64" s="13" t="s">
        <v>217</v>
      </c>
      <c r="F64" s="13" t="s">
        <v>218</v>
      </c>
      <c r="G64" s="13"/>
      <c r="H64" s="13" t="s">
        <v>246</v>
      </c>
      <c r="I64" s="13"/>
      <c r="J64" s="13" t="s">
        <v>247</v>
      </c>
      <c r="K64" s="13" t="s">
        <v>248</v>
      </c>
      <c r="L64" s="13" t="s">
        <v>249</v>
      </c>
      <c r="M64" s="13" t="s">
        <v>189</v>
      </c>
      <c r="N64" s="13"/>
      <c r="O64" s="13" t="s">
        <v>85</v>
      </c>
    </row>
    <row r="65" customFormat="false" ht="46.25" hidden="false" customHeight="false" outlineLevel="0" collapsed="false">
      <c r="A65" s="13" t="s">
        <v>181</v>
      </c>
      <c r="B65" s="13" t="s">
        <v>116</v>
      </c>
      <c r="C65" s="13" t="s">
        <v>123</v>
      </c>
      <c r="D65" s="13" t="s">
        <v>124</v>
      </c>
      <c r="E65" s="13" t="s">
        <v>217</v>
      </c>
      <c r="F65" s="13" t="s">
        <v>250</v>
      </c>
      <c r="G65" s="13"/>
      <c r="H65" s="13" t="s">
        <v>251</v>
      </c>
      <c r="I65" s="13"/>
      <c r="J65" s="13" t="s">
        <v>252</v>
      </c>
      <c r="K65" s="13" t="s">
        <v>253</v>
      </c>
      <c r="L65" s="13" t="s">
        <v>254</v>
      </c>
      <c r="M65" s="13" t="s">
        <v>189</v>
      </c>
      <c r="N65" s="13"/>
      <c r="O65" s="13" t="s">
        <v>85</v>
      </c>
    </row>
    <row r="66" customFormat="false" ht="35.05" hidden="false" customHeight="false" outlineLevel="0" collapsed="false">
      <c r="A66" s="13" t="s">
        <v>181</v>
      </c>
      <c r="B66" s="13" t="s">
        <v>125</v>
      </c>
      <c r="C66" s="13" t="s">
        <v>126</v>
      </c>
      <c r="D66" s="13" t="s">
        <v>127</v>
      </c>
      <c r="E66" s="13" t="s">
        <v>182</v>
      </c>
      <c r="F66" s="13" t="s">
        <v>255</v>
      </c>
      <c r="G66" s="13" t="s">
        <v>256</v>
      </c>
      <c r="H66" s="13" t="s">
        <v>257</v>
      </c>
      <c r="I66" s="13"/>
      <c r="J66" s="13" t="s">
        <v>258</v>
      </c>
      <c r="K66" s="13" t="s">
        <v>259</v>
      </c>
      <c r="L66" s="13" t="s">
        <v>260</v>
      </c>
      <c r="M66" s="13" t="s">
        <v>261</v>
      </c>
      <c r="N66" s="13"/>
      <c r="O66" s="13" t="s">
        <v>85</v>
      </c>
    </row>
    <row r="67" customFormat="false" ht="35.05" hidden="false" customHeight="false" outlineLevel="0" collapsed="false">
      <c r="A67" s="13" t="s">
        <v>181</v>
      </c>
      <c r="B67" s="13" t="s">
        <v>125</v>
      </c>
      <c r="C67" s="13" t="s">
        <v>128</v>
      </c>
      <c r="D67" s="13" t="s">
        <v>129</v>
      </c>
      <c r="E67" s="13" t="s">
        <v>182</v>
      </c>
      <c r="F67" s="13" t="s">
        <v>230</v>
      </c>
      <c r="G67" s="13" t="s">
        <v>262</v>
      </c>
      <c r="H67" s="13" t="s">
        <v>238</v>
      </c>
      <c r="I67" s="13"/>
      <c r="J67" s="13" t="s">
        <v>263</v>
      </c>
      <c r="K67" s="13" t="s">
        <v>264</v>
      </c>
      <c r="L67" s="13" t="s">
        <v>265</v>
      </c>
      <c r="M67" s="13" t="s">
        <v>189</v>
      </c>
      <c r="N67" s="13"/>
      <c r="O67" s="13" t="s">
        <v>85</v>
      </c>
    </row>
    <row r="68" customFormat="false" ht="35.05" hidden="false" customHeight="false" outlineLevel="0" collapsed="false">
      <c r="A68" s="13" t="s">
        <v>181</v>
      </c>
      <c r="B68" s="13" t="s">
        <v>125</v>
      </c>
      <c r="C68" s="13" t="s">
        <v>130</v>
      </c>
      <c r="D68" s="13" t="s">
        <v>131</v>
      </c>
      <c r="E68" s="13" t="s">
        <v>182</v>
      </c>
      <c r="F68" s="13" t="s">
        <v>230</v>
      </c>
      <c r="G68" s="13" t="s">
        <v>266</v>
      </c>
      <c r="H68" s="13" t="s">
        <v>238</v>
      </c>
      <c r="I68" s="13"/>
      <c r="J68" s="13" t="s">
        <v>267</v>
      </c>
      <c r="K68" s="13" t="s">
        <v>268</v>
      </c>
      <c r="L68" s="13" t="s">
        <v>269</v>
      </c>
      <c r="M68" s="13" t="s">
        <v>189</v>
      </c>
      <c r="N68" s="13"/>
      <c r="O68" s="13" t="s">
        <v>85</v>
      </c>
    </row>
    <row r="69" customFormat="false" ht="23.85" hidden="false" customHeight="false" outlineLevel="0" collapsed="false">
      <c r="A69" s="13" t="s">
        <v>181</v>
      </c>
      <c r="B69" s="13" t="s">
        <v>125</v>
      </c>
      <c r="C69" s="13" t="s">
        <v>132</v>
      </c>
      <c r="D69" s="13" t="s">
        <v>133</v>
      </c>
      <c r="E69" s="13" t="s">
        <v>182</v>
      </c>
      <c r="F69" s="13" t="s">
        <v>270</v>
      </c>
      <c r="G69" s="13" t="s">
        <v>271</v>
      </c>
      <c r="H69" s="13" t="s">
        <v>257</v>
      </c>
      <c r="I69" s="13"/>
      <c r="J69" s="13" t="s">
        <v>272</v>
      </c>
      <c r="K69" s="13"/>
      <c r="L69" s="13" t="s">
        <v>273</v>
      </c>
      <c r="M69" s="13" t="s">
        <v>261</v>
      </c>
      <c r="N69" s="13" t="s">
        <v>274</v>
      </c>
      <c r="O69" s="13" t="s">
        <v>85</v>
      </c>
    </row>
    <row r="70" customFormat="false" ht="15" hidden="false" customHeight="false" outlineLevel="0" collapsed="false">
      <c r="A70" s="13" t="s">
        <v>181</v>
      </c>
      <c r="B70" s="13" t="s">
        <v>134</v>
      </c>
      <c r="C70" s="13" t="s">
        <v>135</v>
      </c>
      <c r="D70" s="13" t="s">
        <v>136</v>
      </c>
      <c r="E70" s="13" t="s">
        <v>84</v>
      </c>
      <c r="F70" s="13"/>
      <c r="G70" s="13"/>
      <c r="H70" s="13"/>
      <c r="I70" s="13"/>
      <c r="J70" s="13"/>
      <c r="K70" s="13"/>
      <c r="L70" s="13"/>
      <c r="M70" s="13"/>
      <c r="N70" s="13"/>
      <c r="O70" s="13" t="s">
        <v>85</v>
      </c>
    </row>
    <row r="71" customFormat="false" ht="15" hidden="false" customHeight="false" outlineLevel="0" collapsed="false">
      <c r="A71" s="13" t="s">
        <v>181</v>
      </c>
      <c r="B71" s="13" t="s">
        <v>134</v>
      </c>
      <c r="C71" s="13" t="s">
        <v>137</v>
      </c>
      <c r="D71" s="13" t="s">
        <v>138</v>
      </c>
      <c r="E71" s="13" t="s">
        <v>84</v>
      </c>
      <c r="F71" s="13"/>
      <c r="G71" s="13"/>
      <c r="H71" s="13"/>
      <c r="I71" s="13"/>
      <c r="J71" s="13"/>
      <c r="K71" s="13"/>
      <c r="L71" s="13"/>
      <c r="M71" s="13"/>
      <c r="N71" s="13"/>
      <c r="O71" s="13" t="s">
        <v>85</v>
      </c>
    </row>
    <row r="72" customFormat="false" ht="15" hidden="false" customHeight="false" outlineLevel="0" collapsed="false">
      <c r="A72" s="13" t="s">
        <v>181</v>
      </c>
      <c r="B72" s="13" t="s">
        <v>134</v>
      </c>
      <c r="C72" s="13" t="s">
        <v>139</v>
      </c>
      <c r="D72" s="13" t="s">
        <v>140</v>
      </c>
      <c r="E72" s="13" t="s">
        <v>84</v>
      </c>
      <c r="F72" s="13"/>
      <c r="G72" s="13"/>
      <c r="H72" s="13"/>
      <c r="I72" s="13"/>
      <c r="J72" s="13"/>
      <c r="K72" s="13"/>
      <c r="L72" s="13"/>
      <c r="M72" s="13"/>
      <c r="N72" s="13"/>
      <c r="O72" s="13" t="s">
        <v>85</v>
      </c>
    </row>
    <row r="73" customFormat="false" ht="15" hidden="false" customHeight="false" outlineLevel="0" collapsed="false">
      <c r="A73" s="13" t="s">
        <v>181</v>
      </c>
      <c r="B73" s="13" t="s">
        <v>141</v>
      </c>
      <c r="C73" s="13" t="s">
        <v>142</v>
      </c>
      <c r="D73" s="13" t="s">
        <v>143</v>
      </c>
      <c r="E73" s="13" t="s">
        <v>84</v>
      </c>
      <c r="F73" s="13"/>
      <c r="G73" s="13"/>
      <c r="H73" s="13"/>
      <c r="I73" s="13"/>
      <c r="J73" s="13"/>
      <c r="K73" s="13"/>
      <c r="L73" s="13"/>
      <c r="M73" s="13"/>
      <c r="N73" s="13"/>
      <c r="O73" s="13" t="s">
        <v>85</v>
      </c>
    </row>
    <row r="74" customFormat="false" ht="15" hidden="false" customHeight="false" outlineLevel="0" collapsed="false">
      <c r="A74" s="13" t="s">
        <v>181</v>
      </c>
      <c r="B74" s="13" t="s">
        <v>141</v>
      </c>
      <c r="C74" s="13" t="s">
        <v>144</v>
      </c>
      <c r="D74" s="13" t="s">
        <v>145</v>
      </c>
      <c r="E74" s="13" t="s">
        <v>84</v>
      </c>
      <c r="F74" s="13"/>
      <c r="G74" s="13"/>
      <c r="H74" s="13"/>
      <c r="I74" s="13"/>
      <c r="J74" s="13"/>
      <c r="K74" s="13"/>
      <c r="L74" s="13"/>
      <c r="M74" s="13"/>
      <c r="N74" s="13"/>
      <c r="O74" s="13" t="s">
        <v>85</v>
      </c>
    </row>
    <row r="75" customFormat="false" ht="15" hidden="false" customHeight="false" outlineLevel="0" collapsed="false">
      <c r="A75" s="13" t="s">
        <v>181</v>
      </c>
      <c r="B75" s="13" t="s">
        <v>141</v>
      </c>
      <c r="C75" s="13" t="s">
        <v>146</v>
      </c>
      <c r="D75" s="13" t="s">
        <v>147</v>
      </c>
      <c r="E75" s="13" t="s">
        <v>84</v>
      </c>
      <c r="F75" s="13"/>
      <c r="G75" s="13"/>
      <c r="H75" s="13"/>
      <c r="I75" s="13"/>
      <c r="J75" s="13"/>
      <c r="K75" s="13"/>
      <c r="L75" s="13"/>
      <c r="M75" s="13"/>
      <c r="N75" s="13"/>
      <c r="O75" s="13" t="s">
        <v>85</v>
      </c>
    </row>
    <row r="76" customFormat="false" ht="15" hidden="false" customHeight="false" outlineLevel="0" collapsed="false">
      <c r="A76" s="13" t="s">
        <v>181</v>
      </c>
      <c r="B76" s="13" t="s">
        <v>141</v>
      </c>
      <c r="C76" s="13" t="s">
        <v>148</v>
      </c>
      <c r="D76" s="13" t="s">
        <v>149</v>
      </c>
      <c r="E76" s="13" t="s">
        <v>84</v>
      </c>
      <c r="F76" s="13"/>
      <c r="G76" s="13"/>
      <c r="H76" s="13"/>
      <c r="I76" s="13"/>
      <c r="J76" s="13"/>
      <c r="K76" s="13"/>
      <c r="L76" s="13"/>
      <c r="M76" s="13"/>
      <c r="N76" s="13"/>
      <c r="O76" s="13" t="s">
        <v>85</v>
      </c>
    </row>
    <row r="77" customFormat="false" ht="15" hidden="false" customHeight="false" outlineLevel="0" collapsed="false">
      <c r="A77" s="13" t="s">
        <v>181</v>
      </c>
      <c r="B77" s="13" t="s">
        <v>141</v>
      </c>
      <c r="C77" s="13" t="s">
        <v>150</v>
      </c>
      <c r="D77" s="13" t="s">
        <v>151</v>
      </c>
      <c r="E77" s="13" t="s">
        <v>84</v>
      </c>
      <c r="F77" s="13"/>
      <c r="G77" s="13"/>
      <c r="H77" s="13"/>
      <c r="I77" s="13"/>
      <c r="J77" s="13"/>
      <c r="K77" s="13"/>
      <c r="L77" s="13"/>
      <c r="M77" s="13"/>
      <c r="N77" s="13"/>
      <c r="O77" s="13" t="s">
        <v>85</v>
      </c>
    </row>
    <row r="78" customFormat="false" ht="15" hidden="false" customHeight="false" outlineLevel="0" collapsed="false">
      <c r="A78" s="13" t="s">
        <v>181</v>
      </c>
      <c r="B78" s="13" t="s">
        <v>152</v>
      </c>
      <c r="C78" s="13" t="s">
        <v>153</v>
      </c>
      <c r="D78" s="13" t="s">
        <v>154</v>
      </c>
      <c r="E78" s="13" t="s">
        <v>84</v>
      </c>
      <c r="F78" s="13"/>
      <c r="G78" s="13"/>
      <c r="H78" s="13"/>
      <c r="I78" s="13"/>
      <c r="J78" s="13"/>
      <c r="K78" s="13"/>
      <c r="L78" s="13"/>
      <c r="M78" s="13"/>
      <c r="N78" s="13"/>
      <c r="O78" s="13" t="s">
        <v>85</v>
      </c>
    </row>
    <row r="79" customFormat="false" ht="15" hidden="false" customHeight="false" outlineLevel="0" collapsed="false">
      <c r="A79" s="13" t="s">
        <v>181</v>
      </c>
      <c r="B79" s="13" t="s">
        <v>152</v>
      </c>
      <c r="C79" s="13" t="s">
        <v>155</v>
      </c>
      <c r="D79" s="13" t="s">
        <v>156</v>
      </c>
      <c r="E79" s="13" t="s">
        <v>84</v>
      </c>
      <c r="F79" s="13"/>
      <c r="G79" s="13"/>
      <c r="H79" s="13"/>
      <c r="I79" s="13"/>
      <c r="J79" s="13"/>
      <c r="K79" s="13"/>
      <c r="L79" s="13"/>
      <c r="M79" s="13"/>
      <c r="N79" s="13"/>
      <c r="O79" s="13" t="s">
        <v>85</v>
      </c>
    </row>
    <row r="80" customFormat="false" ht="15" hidden="false" customHeight="false" outlineLevel="0" collapsed="false">
      <c r="A80" s="13" t="s">
        <v>181</v>
      </c>
      <c r="B80" s="13" t="s">
        <v>152</v>
      </c>
      <c r="C80" s="13" t="s">
        <v>157</v>
      </c>
      <c r="D80" s="13" t="s">
        <v>158</v>
      </c>
      <c r="E80" s="13" t="s">
        <v>84</v>
      </c>
      <c r="F80" s="13"/>
      <c r="G80" s="13"/>
      <c r="H80" s="13"/>
      <c r="I80" s="13"/>
      <c r="J80" s="13"/>
      <c r="K80" s="13"/>
      <c r="L80" s="13"/>
      <c r="M80" s="13"/>
      <c r="N80" s="13"/>
      <c r="O80" s="13" t="s">
        <v>85</v>
      </c>
    </row>
    <row r="81" customFormat="false" ht="15" hidden="false" customHeight="false" outlineLevel="0" collapsed="false">
      <c r="A81" s="13" t="s">
        <v>181</v>
      </c>
      <c r="B81" s="13" t="s">
        <v>152</v>
      </c>
      <c r="C81" s="13" t="s">
        <v>159</v>
      </c>
      <c r="D81" s="13" t="s">
        <v>160</v>
      </c>
      <c r="E81" s="13" t="s">
        <v>84</v>
      </c>
      <c r="F81" s="13"/>
      <c r="G81" s="13"/>
      <c r="H81" s="13"/>
      <c r="I81" s="13"/>
      <c r="J81" s="13"/>
      <c r="K81" s="13"/>
      <c r="L81" s="13"/>
      <c r="M81" s="13"/>
      <c r="N81" s="13"/>
      <c r="O81" s="13" t="s">
        <v>85</v>
      </c>
    </row>
    <row r="82" customFormat="false" ht="15" hidden="false" customHeight="false" outlineLevel="0" collapsed="false">
      <c r="A82" s="13" t="s">
        <v>181</v>
      </c>
      <c r="B82" s="13" t="s">
        <v>161</v>
      </c>
      <c r="C82" s="13" t="s">
        <v>162</v>
      </c>
      <c r="D82" s="13" t="s">
        <v>163</v>
      </c>
      <c r="E82" s="13" t="s">
        <v>84</v>
      </c>
      <c r="F82" s="13"/>
      <c r="G82" s="13"/>
      <c r="H82" s="13"/>
      <c r="I82" s="13"/>
      <c r="J82" s="13"/>
      <c r="K82" s="13"/>
      <c r="L82" s="13"/>
      <c r="M82" s="13"/>
      <c r="N82" s="13"/>
      <c r="O82" s="13" t="s">
        <v>85</v>
      </c>
    </row>
    <row r="83" customFormat="false" ht="15" hidden="false" customHeight="false" outlineLevel="0" collapsed="false">
      <c r="A83" s="13" t="s">
        <v>181</v>
      </c>
      <c r="B83" s="13" t="s">
        <v>161</v>
      </c>
      <c r="C83" s="13" t="s">
        <v>164</v>
      </c>
      <c r="D83" s="13" t="s">
        <v>165</v>
      </c>
      <c r="E83" s="13" t="s">
        <v>84</v>
      </c>
      <c r="F83" s="13"/>
      <c r="G83" s="13"/>
      <c r="H83" s="13"/>
      <c r="I83" s="13"/>
      <c r="J83" s="13"/>
      <c r="K83" s="13"/>
      <c r="L83" s="13"/>
      <c r="M83" s="13"/>
      <c r="N83" s="13"/>
      <c r="O83" s="13" t="s">
        <v>85</v>
      </c>
    </row>
    <row r="84" customFormat="false" ht="15" hidden="false" customHeight="false" outlineLevel="0" collapsed="false">
      <c r="A84" s="13" t="s">
        <v>181</v>
      </c>
      <c r="B84" s="13" t="s">
        <v>161</v>
      </c>
      <c r="C84" s="13" t="s">
        <v>166</v>
      </c>
      <c r="D84" s="13" t="s">
        <v>167</v>
      </c>
      <c r="E84" s="13" t="s">
        <v>84</v>
      </c>
      <c r="F84" s="13"/>
      <c r="G84" s="13"/>
      <c r="H84" s="13"/>
      <c r="I84" s="13"/>
      <c r="J84" s="13"/>
      <c r="K84" s="13"/>
      <c r="L84" s="13"/>
      <c r="M84" s="13"/>
      <c r="N84" s="13"/>
      <c r="O84" s="13" t="s">
        <v>85</v>
      </c>
    </row>
    <row r="85" customFormat="false" ht="15" hidden="false" customHeight="false" outlineLevel="0" collapsed="false">
      <c r="A85" s="13" t="s">
        <v>181</v>
      </c>
      <c r="B85" s="13" t="s">
        <v>161</v>
      </c>
      <c r="C85" s="13" t="s">
        <v>168</v>
      </c>
      <c r="D85" s="13" t="s">
        <v>169</v>
      </c>
      <c r="E85" s="13" t="s">
        <v>84</v>
      </c>
      <c r="F85" s="13"/>
      <c r="G85" s="13"/>
      <c r="H85" s="13"/>
      <c r="I85" s="13"/>
      <c r="J85" s="13"/>
      <c r="K85" s="13"/>
      <c r="L85" s="13"/>
      <c r="M85" s="13"/>
      <c r="N85" s="13"/>
      <c r="O85" s="13" t="s">
        <v>85</v>
      </c>
    </row>
    <row r="86" customFormat="false" ht="15" hidden="false" customHeight="false" outlineLevel="0" collapsed="false">
      <c r="A86" s="13" t="s">
        <v>181</v>
      </c>
      <c r="B86" s="13" t="s">
        <v>170</v>
      </c>
      <c r="C86" s="13" t="s">
        <v>171</v>
      </c>
      <c r="D86" s="13" t="s">
        <v>172</v>
      </c>
      <c r="E86" s="13" t="s">
        <v>275</v>
      </c>
      <c r="F86" s="13"/>
      <c r="G86" s="13"/>
      <c r="H86" s="13"/>
      <c r="I86" s="13"/>
      <c r="J86" s="13"/>
      <c r="K86" s="13"/>
      <c r="L86" s="13"/>
      <c r="M86" s="13"/>
      <c r="N86" s="13"/>
      <c r="O86" s="13" t="s">
        <v>85</v>
      </c>
    </row>
    <row r="87" customFormat="false" ht="15" hidden="false" customHeight="false" outlineLevel="0" collapsed="false">
      <c r="A87" s="13" t="s">
        <v>181</v>
      </c>
      <c r="B87" s="13" t="s">
        <v>170</v>
      </c>
      <c r="C87" s="13" t="s">
        <v>173</v>
      </c>
      <c r="D87" s="13" t="s">
        <v>174</v>
      </c>
      <c r="E87" s="13" t="s">
        <v>275</v>
      </c>
      <c r="F87" s="13"/>
      <c r="G87" s="13"/>
      <c r="H87" s="13"/>
      <c r="I87" s="13"/>
      <c r="J87" s="13"/>
      <c r="K87" s="13"/>
      <c r="L87" s="13"/>
      <c r="M87" s="13"/>
      <c r="N87" s="13"/>
      <c r="O87" s="13" t="s">
        <v>85</v>
      </c>
    </row>
    <row r="88" customFormat="false" ht="15" hidden="false" customHeight="false" outlineLevel="0" collapsed="false">
      <c r="A88" s="13" t="s">
        <v>181</v>
      </c>
      <c r="B88" s="13" t="s">
        <v>170</v>
      </c>
      <c r="C88" s="13" t="s">
        <v>175</v>
      </c>
      <c r="D88" s="13" t="s">
        <v>176</v>
      </c>
      <c r="E88" s="13" t="s">
        <v>275</v>
      </c>
      <c r="F88" s="13"/>
      <c r="G88" s="13"/>
      <c r="H88" s="13"/>
      <c r="I88" s="13"/>
      <c r="J88" s="13"/>
      <c r="K88" s="13"/>
      <c r="L88" s="13"/>
      <c r="M88" s="13"/>
      <c r="N88" s="13"/>
      <c r="O88" s="13" t="s">
        <v>85</v>
      </c>
    </row>
    <row r="89" customFormat="false" ht="15" hidden="false" customHeight="false" outlineLevel="0" collapsed="false">
      <c r="A89" s="13" t="s">
        <v>181</v>
      </c>
      <c r="B89" s="13" t="s">
        <v>170</v>
      </c>
      <c r="C89" s="13" t="s">
        <v>177</v>
      </c>
      <c r="D89" s="13" t="s">
        <v>178</v>
      </c>
      <c r="E89" s="13" t="s">
        <v>275</v>
      </c>
      <c r="F89" s="13"/>
      <c r="G89" s="13"/>
      <c r="H89" s="13"/>
      <c r="I89" s="13"/>
      <c r="J89" s="13"/>
      <c r="K89" s="13"/>
      <c r="L89" s="13"/>
      <c r="M89" s="13"/>
      <c r="N89" s="13"/>
      <c r="O89" s="13" t="s">
        <v>85</v>
      </c>
    </row>
    <row r="90" customFormat="false" ht="15" hidden="false" customHeight="false" outlineLevel="0" collapsed="false">
      <c r="A90" s="13" t="s">
        <v>181</v>
      </c>
      <c r="B90" s="13" t="s">
        <v>170</v>
      </c>
      <c r="C90" s="13" t="s">
        <v>179</v>
      </c>
      <c r="D90" s="13" t="s">
        <v>180</v>
      </c>
      <c r="E90" s="13" t="s">
        <v>275</v>
      </c>
      <c r="F90" s="13"/>
      <c r="G90" s="13"/>
      <c r="H90" s="13"/>
      <c r="I90" s="13"/>
      <c r="J90" s="13"/>
      <c r="K90" s="13"/>
      <c r="L90" s="13"/>
      <c r="M90" s="13"/>
      <c r="N90" s="13"/>
      <c r="O90" s="13" t="s">
        <v>85</v>
      </c>
    </row>
    <row r="91" customFormat="false" ht="15" hidden="false" customHeight="false" outlineLevel="0" collapsed="false">
      <c r="A91" s="13" t="s">
        <v>276</v>
      </c>
      <c r="B91" s="13" t="s">
        <v>81</v>
      </c>
      <c r="C91" s="13" t="s">
        <v>82</v>
      </c>
      <c r="D91" s="13" t="s">
        <v>83</v>
      </c>
      <c r="E91" s="13" t="s">
        <v>84</v>
      </c>
      <c r="F91" s="13"/>
      <c r="G91" s="13"/>
      <c r="H91" s="13"/>
      <c r="I91" s="13"/>
      <c r="J91" s="13"/>
      <c r="K91" s="13"/>
      <c r="L91" s="13"/>
      <c r="M91" s="13"/>
      <c r="N91" s="13"/>
      <c r="O91" s="13" t="s">
        <v>85</v>
      </c>
    </row>
    <row r="92" customFormat="false" ht="15" hidden="false" customHeight="false" outlineLevel="0" collapsed="false">
      <c r="A92" s="13" t="s">
        <v>276</v>
      </c>
      <c r="B92" s="13" t="s">
        <v>81</v>
      </c>
      <c r="C92" s="13" t="s">
        <v>86</v>
      </c>
      <c r="D92" s="13" t="s">
        <v>87</v>
      </c>
      <c r="E92" s="13" t="s">
        <v>84</v>
      </c>
      <c r="F92" s="13"/>
      <c r="G92" s="13"/>
      <c r="H92" s="13"/>
      <c r="I92" s="13"/>
      <c r="J92" s="13"/>
      <c r="K92" s="13"/>
      <c r="L92" s="13"/>
      <c r="M92" s="13"/>
      <c r="N92" s="13"/>
      <c r="O92" s="13" t="s">
        <v>85</v>
      </c>
    </row>
    <row r="93" customFormat="false" ht="15" hidden="false" customHeight="false" outlineLevel="0" collapsed="false">
      <c r="A93" s="13" t="s">
        <v>276</v>
      </c>
      <c r="B93" s="13" t="s">
        <v>81</v>
      </c>
      <c r="C93" s="13" t="s">
        <v>88</v>
      </c>
      <c r="D93" s="13" t="s">
        <v>89</v>
      </c>
      <c r="E93" s="13" t="s">
        <v>84</v>
      </c>
      <c r="F93" s="13"/>
      <c r="G93" s="13"/>
      <c r="H93" s="13"/>
      <c r="I93" s="13"/>
      <c r="J93" s="13"/>
      <c r="K93" s="13"/>
      <c r="L93" s="13"/>
      <c r="M93" s="13"/>
      <c r="N93" s="13"/>
      <c r="O93" s="13" t="s">
        <v>85</v>
      </c>
    </row>
    <row r="94" customFormat="false" ht="15" hidden="false" customHeight="false" outlineLevel="0" collapsed="false">
      <c r="A94" s="13" t="s">
        <v>276</v>
      </c>
      <c r="B94" s="13" t="s">
        <v>81</v>
      </c>
      <c r="C94" s="13" t="s">
        <v>90</v>
      </c>
      <c r="D94" s="13" t="s">
        <v>91</v>
      </c>
      <c r="E94" s="13" t="s">
        <v>84</v>
      </c>
      <c r="F94" s="13"/>
      <c r="G94" s="13"/>
      <c r="H94" s="13"/>
      <c r="I94" s="13"/>
      <c r="J94" s="13"/>
      <c r="K94" s="13"/>
      <c r="L94" s="13"/>
      <c r="M94" s="13"/>
      <c r="N94" s="13"/>
      <c r="O94" s="13" t="s">
        <v>85</v>
      </c>
    </row>
    <row r="95" customFormat="false" ht="15" hidden="false" customHeight="false" outlineLevel="0" collapsed="false">
      <c r="A95" s="13" t="s">
        <v>276</v>
      </c>
      <c r="B95" s="13" t="s">
        <v>81</v>
      </c>
      <c r="C95" s="13" t="s">
        <v>92</v>
      </c>
      <c r="D95" s="13" t="s">
        <v>93</v>
      </c>
      <c r="E95" s="13" t="s">
        <v>84</v>
      </c>
      <c r="F95" s="13"/>
      <c r="G95" s="13"/>
      <c r="H95" s="13"/>
      <c r="I95" s="13"/>
      <c r="J95" s="13"/>
      <c r="K95" s="13"/>
      <c r="L95" s="13"/>
      <c r="M95" s="13"/>
      <c r="N95" s="13"/>
      <c r="O95" s="13" t="s">
        <v>85</v>
      </c>
    </row>
    <row r="96" customFormat="false" ht="15" hidden="false" customHeight="false" outlineLevel="0" collapsed="false">
      <c r="A96" s="13" t="s">
        <v>276</v>
      </c>
      <c r="B96" s="13" t="s">
        <v>81</v>
      </c>
      <c r="C96" s="13" t="s">
        <v>94</v>
      </c>
      <c r="D96" s="13" t="s">
        <v>95</v>
      </c>
      <c r="E96" s="13" t="s">
        <v>84</v>
      </c>
      <c r="F96" s="13"/>
      <c r="G96" s="13"/>
      <c r="H96" s="13"/>
      <c r="I96" s="13"/>
      <c r="J96" s="13"/>
      <c r="K96" s="13"/>
      <c r="L96" s="13"/>
      <c r="M96" s="13"/>
      <c r="N96" s="13"/>
      <c r="O96" s="13" t="s">
        <v>85</v>
      </c>
    </row>
    <row r="97" customFormat="false" ht="15" hidden="false" customHeight="false" outlineLevel="0" collapsed="false">
      <c r="A97" s="13" t="s">
        <v>276</v>
      </c>
      <c r="B97" s="13" t="s">
        <v>96</v>
      </c>
      <c r="C97" s="13" t="s">
        <v>97</v>
      </c>
      <c r="D97" s="13" t="s">
        <v>98</v>
      </c>
      <c r="E97" s="13" t="s">
        <v>84</v>
      </c>
      <c r="F97" s="13"/>
      <c r="G97" s="13"/>
      <c r="H97" s="13"/>
      <c r="I97" s="13"/>
      <c r="J97" s="13"/>
      <c r="K97" s="13"/>
      <c r="L97" s="13"/>
      <c r="M97" s="13"/>
      <c r="N97" s="13"/>
      <c r="O97" s="13" t="s">
        <v>85</v>
      </c>
    </row>
    <row r="98" customFormat="false" ht="15" hidden="false" customHeight="false" outlineLevel="0" collapsed="false">
      <c r="A98" s="13" t="s">
        <v>276</v>
      </c>
      <c r="B98" s="13" t="s">
        <v>96</v>
      </c>
      <c r="C98" s="13" t="s">
        <v>99</v>
      </c>
      <c r="D98" s="13" t="s">
        <v>100</v>
      </c>
      <c r="E98" s="13" t="s">
        <v>84</v>
      </c>
      <c r="F98" s="13"/>
      <c r="G98" s="13"/>
      <c r="H98" s="13"/>
      <c r="I98" s="13"/>
      <c r="J98" s="13"/>
      <c r="K98" s="13"/>
      <c r="L98" s="13"/>
      <c r="M98" s="13"/>
      <c r="N98" s="13"/>
      <c r="O98" s="13" t="s">
        <v>85</v>
      </c>
    </row>
    <row r="99" customFormat="false" ht="15" hidden="false" customHeight="false" outlineLevel="0" collapsed="false">
      <c r="A99" s="13" t="s">
        <v>276</v>
      </c>
      <c r="B99" s="13" t="s">
        <v>96</v>
      </c>
      <c r="C99" s="13" t="s">
        <v>101</v>
      </c>
      <c r="D99" s="13" t="s">
        <v>102</v>
      </c>
      <c r="E99" s="13" t="s">
        <v>84</v>
      </c>
      <c r="F99" s="13"/>
      <c r="G99" s="13"/>
      <c r="H99" s="13"/>
      <c r="I99" s="13"/>
      <c r="J99" s="13"/>
      <c r="K99" s="13"/>
      <c r="L99" s="13"/>
      <c r="M99" s="13"/>
      <c r="N99" s="13"/>
      <c r="O99" s="13" t="s">
        <v>85</v>
      </c>
    </row>
    <row r="100" customFormat="false" ht="15" hidden="false" customHeight="false" outlineLevel="0" collapsed="false">
      <c r="A100" s="13" t="s">
        <v>276</v>
      </c>
      <c r="B100" s="13" t="s">
        <v>96</v>
      </c>
      <c r="C100" s="13" t="s">
        <v>103</v>
      </c>
      <c r="D100" s="13" t="s">
        <v>104</v>
      </c>
      <c r="E100" s="13" t="s">
        <v>84</v>
      </c>
      <c r="F100" s="13"/>
      <c r="G100" s="13"/>
      <c r="H100" s="13"/>
      <c r="I100" s="13"/>
      <c r="J100" s="13"/>
      <c r="K100" s="13"/>
      <c r="L100" s="13"/>
      <c r="M100" s="13"/>
      <c r="N100" s="13"/>
      <c r="O100" s="13" t="s">
        <v>85</v>
      </c>
    </row>
    <row r="101" customFormat="false" ht="15" hidden="false" customHeight="false" outlineLevel="0" collapsed="false">
      <c r="A101" s="13" t="s">
        <v>276</v>
      </c>
      <c r="B101" s="13" t="s">
        <v>96</v>
      </c>
      <c r="C101" s="13" t="s">
        <v>105</v>
      </c>
      <c r="D101" s="13" t="s">
        <v>106</v>
      </c>
      <c r="E101" s="13" t="s">
        <v>84</v>
      </c>
      <c r="F101" s="13"/>
      <c r="G101" s="13"/>
      <c r="H101" s="13"/>
      <c r="I101" s="13"/>
      <c r="J101" s="13"/>
      <c r="K101" s="13"/>
      <c r="L101" s="13"/>
      <c r="M101" s="13"/>
      <c r="N101" s="13"/>
      <c r="O101" s="13" t="s">
        <v>85</v>
      </c>
    </row>
    <row r="102" customFormat="false" ht="15" hidden="false" customHeight="false" outlineLevel="0" collapsed="false">
      <c r="A102" s="13" t="s">
        <v>276</v>
      </c>
      <c r="B102" s="13" t="s">
        <v>107</v>
      </c>
      <c r="C102" s="13" t="s">
        <v>108</v>
      </c>
      <c r="D102" s="13" t="s">
        <v>109</v>
      </c>
      <c r="E102" s="13" t="s">
        <v>84</v>
      </c>
      <c r="F102" s="13"/>
      <c r="G102" s="13"/>
      <c r="H102" s="13"/>
      <c r="I102" s="13"/>
      <c r="J102" s="13"/>
      <c r="K102" s="13"/>
      <c r="L102" s="13"/>
      <c r="M102" s="13"/>
      <c r="N102" s="13"/>
      <c r="O102" s="13" t="s">
        <v>85</v>
      </c>
    </row>
    <row r="103" customFormat="false" ht="15" hidden="false" customHeight="false" outlineLevel="0" collapsed="false">
      <c r="A103" s="13" t="s">
        <v>276</v>
      </c>
      <c r="B103" s="13" t="s">
        <v>107</v>
      </c>
      <c r="C103" s="13" t="s">
        <v>110</v>
      </c>
      <c r="D103" s="13" t="s">
        <v>111</v>
      </c>
      <c r="E103" s="13" t="s">
        <v>84</v>
      </c>
      <c r="F103" s="13"/>
      <c r="G103" s="13"/>
      <c r="H103" s="13"/>
      <c r="I103" s="13"/>
      <c r="J103" s="13"/>
      <c r="K103" s="13"/>
      <c r="L103" s="13"/>
      <c r="M103" s="13"/>
      <c r="N103" s="13"/>
      <c r="O103" s="13" t="s">
        <v>85</v>
      </c>
    </row>
    <row r="104" customFormat="false" ht="15" hidden="false" customHeight="false" outlineLevel="0" collapsed="false">
      <c r="A104" s="13" t="s">
        <v>276</v>
      </c>
      <c r="B104" s="13" t="s">
        <v>107</v>
      </c>
      <c r="C104" s="13" t="s">
        <v>112</v>
      </c>
      <c r="D104" s="13" t="s">
        <v>113</v>
      </c>
      <c r="E104" s="13" t="s">
        <v>84</v>
      </c>
      <c r="F104" s="13"/>
      <c r="G104" s="13"/>
      <c r="H104" s="13"/>
      <c r="I104" s="13"/>
      <c r="J104" s="13"/>
      <c r="K104" s="13"/>
      <c r="L104" s="13"/>
      <c r="M104" s="13"/>
      <c r="N104" s="13"/>
      <c r="O104" s="13" t="s">
        <v>85</v>
      </c>
    </row>
    <row r="105" customFormat="false" ht="15" hidden="false" customHeight="false" outlineLevel="0" collapsed="false">
      <c r="A105" s="13" t="s">
        <v>276</v>
      </c>
      <c r="B105" s="13" t="s">
        <v>107</v>
      </c>
      <c r="C105" s="13" t="s">
        <v>114</v>
      </c>
      <c r="D105" s="13" t="s">
        <v>115</v>
      </c>
      <c r="E105" s="13" t="s">
        <v>84</v>
      </c>
      <c r="F105" s="13"/>
      <c r="G105" s="13"/>
      <c r="H105" s="13"/>
      <c r="I105" s="13"/>
      <c r="J105" s="13"/>
      <c r="K105" s="13"/>
      <c r="L105" s="13"/>
      <c r="M105" s="13"/>
      <c r="N105" s="13"/>
      <c r="O105" s="13" t="s">
        <v>85</v>
      </c>
    </row>
    <row r="106" customFormat="false" ht="15" hidden="false" customHeight="false" outlineLevel="0" collapsed="false">
      <c r="A106" s="13" t="s">
        <v>276</v>
      </c>
      <c r="B106" s="13" t="s">
        <v>116</v>
      </c>
      <c r="C106" s="13" t="s">
        <v>117</v>
      </c>
      <c r="D106" s="13" t="s">
        <v>118</v>
      </c>
      <c r="E106" s="13" t="s">
        <v>84</v>
      </c>
      <c r="F106" s="13"/>
      <c r="G106" s="13"/>
      <c r="H106" s="13"/>
      <c r="I106" s="13"/>
      <c r="J106" s="13"/>
      <c r="K106" s="13"/>
      <c r="L106" s="13"/>
      <c r="M106" s="13"/>
      <c r="N106" s="13"/>
      <c r="O106" s="13" t="s">
        <v>85</v>
      </c>
    </row>
    <row r="107" customFormat="false" ht="15" hidden="false" customHeight="false" outlineLevel="0" collapsed="false">
      <c r="A107" s="13" t="s">
        <v>276</v>
      </c>
      <c r="B107" s="13" t="s">
        <v>116</v>
      </c>
      <c r="C107" s="13" t="s">
        <v>119</v>
      </c>
      <c r="D107" s="13" t="s">
        <v>120</v>
      </c>
      <c r="E107" s="13" t="s">
        <v>84</v>
      </c>
      <c r="F107" s="13"/>
      <c r="G107" s="13"/>
      <c r="H107" s="13"/>
      <c r="I107" s="13"/>
      <c r="J107" s="13"/>
      <c r="K107" s="13"/>
      <c r="L107" s="13"/>
      <c r="M107" s="13"/>
      <c r="N107" s="13"/>
      <c r="O107" s="13" t="s">
        <v>85</v>
      </c>
    </row>
    <row r="108" customFormat="false" ht="15" hidden="false" customHeight="false" outlineLevel="0" collapsed="false">
      <c r="A108" s="13" t="s">
        <v>276</v>
      </c>
      <c r="B108" s="13" t="s">
        <v>116</v>
      </c>
      <c r="C108" s="13" t="s">
        <v>121</v>
      </c>
      <c r="D108" s="13" t="s">
        <v>122</v>
      </c>
      <c r="E108" s="13" t="s">
        <v>84</v>
      </c>
      <c r="F108" s="13"/>
      <c r="G108" s="13"/>
      <c r="H108" s="13"/>
      <c r="I108" s="13"/>
      <c r="J108" s="13"/>
      <c r="K108" s="13"/>
      <c r="L108" s="13"/>
      <c r="M108" s="13"/>
      <c r="N108" s="13"/>
      <c r="O108" s="13" t="s">
        <v>85</v>
      </c>
    </row>
    <row r="109" customFormat="false" ht="15" hidden="false" customHeight="false" outlineLevel="0" collapsed="false">
      <c r="A109" s="13" t="s">
        <v>276</v>
      </c>
      <c r="B109" s="13" t="s">
        <v>116</v>
      </c>
      <c r="C109" s="13" t="s">
        <v>123</v>
      </c>
      <c r="D109" s="13" t="s">
        <v>124</v>
      </c>
      <c r="E109" s="13" t="s">
        <v>84</v>
      </c>
      <c r="F109" s="13"/>
      <c r="G109" s="13"/>
      <c r="H109" s="13"/>
      <c r="I109" s="13"/>
      <c r="J109" s="13"/>
      <c r="K109" s="13"/>
      <c r="L109" s="13"/>
      <c r="M109" s="13"/>
      <c r="N109" s="13"/>
      <c r="O109" s="13" t="s">
        <v>85</v>
      </c>
    </row>
    <row r="110" customFormat="false" ht="15" hidden="false" customHeight="false" outlineLevel="0" collapsed="false">
      <c r="A110" s="13" t="s">
        <v>276</v>
      </c>
      <c r="B110" s="13" t="s">
        <v>125</v>
      </c>
      <c r="C110" s="13" t="s">
        <v>126</v>
      </c>
      <c r="D110" s="13" t="s">
        <v>127</v>
      </c>
      <c r="E110" s="13" t="s">
        <v>84</v>
      </c>
      <c r="F110" s="13"/>
      <c r="G110" s="13"/>
      <c r="H110" s="13"/>
      <c r="I110" s="13"/>
      <c r="J110" s="13"/>
      <c r="K110" s="13"/>
      <c r="L110" s="13"/>
      <c r="M110" s="13"/>
      <c r="N110" s="13"/>
      <c r="O110" s="13" t="s">
        <v>85</v>
      </c>
    </row>
    <row r="111" customFormat="false" ht="15" hidden="false" customHeight="false" outlineLevel="0" collapsed="false">
      <c r="A111" s="13" t="s">
        <v>276</v>
      </c>
      <c r="B111" s="13" t="s">
        <v>125</v>
      </c>
      <c r="C111" s="13" t="s">
        <v>128</v>
      </c>
      <c r="D111" s="13" t="s">
        <v>129</v>
      </c>
      <c r="E111" s="13" t="s">
        <v>84</v>
      </c>
      <c r="F111" s="13"/>
      <c r="G111" s="13"/>
      <c r="H111" s="13"/>
      <c r="I111" s="13"/>
      <c r="J111" s="13"/>
      <c r="K111" s="13"/>
      <c r="L111" s="13"/>
      <c r="M111" s="13"/>
      <c r="N111" s="13"/>
      <c r="O111" s="13" t="s">
        <v>85</v>
      </c>
    </row>
    <row r="112" customFormat="false" ht="15" hidden="false" customHeight="false" outlineLevel="0" collapsed="false">
      <c r="A112" s="13" t="s">
        <v>276</v>
      </c>
      <c r="B112" s="13" t="s">
        <v>125</v>
      </c>
      <c r="C112" s="13" t="s">
        <v>130</v>
      </c>
      <c r="D112" s="13" t="s">
        <v>131</v>
      </c>
      <c r="E112" s="13" t="s">
        <v>84</v>
      </c>
      <c r="F112" s="13"/>
      <c r="G112" s="13"/>
      <c r="H112" s="13"/>
      <c r="I112" s="13"/>
      <c r="J112" s="13"/>
      <c r="K112" s="13"/>
      <c r="L112" s="13"/>
      <c r="M112" s="13"/>
      <c r="N112" s="13"/>
      <c r="O112" s="13" t="s">
        <v>85</v>
      </c>
    </row>
    <row r="113" customFormat="false" ht="15" hidden="false" customHeight="false" outlineLevel="0" collapsed="false">
      <c r="A113" s="13" t="s">
        <v>276</v>
      </c>
      <c r="B113" s="13" t="s">
        <v>125</v>
      </c>
      <c r="C113" s="13" t="s">
        <v>132</v>
      </c>
      <c r="D113" s="13" t="s">
        <v>133</v>
      </c>
      <c r="E113" s="13" t="s">
        <v>84</v>
      </c>
      <c r="F113" s="13"/>
      <c r="G113" s="13"/>
      <c r="H113" s="13"/>
      <c r="I113" s="13"/>
      <c r="J113" s="13"/>
      <c r="K113" s="13"/>
      <c r="L113" s="13"/>
      <c r="M113" s="13"/>
      <c r="N113" s="13"/>
      <c r="O113" s="13" t="s">
        <v>85</v>
      </c>
    </row>
    <row r="114" customFormat="false" ht="15" hidden="false" customHeight="false" outlineLevel="0" collapsed="false">
      <c r="A114" s="13" t="s">
        <v>276</v>
      </c>
      <c r="B114" s="13" t="s">
        <v>134</v>
      </c>
      <c r="C114" s="13" t="s">
        <v>135</v>
      </c>
      <c r="D114" s="13" t="s">
        <v>136</v>
      </c>
      <c r="E114" s="13" t="s">
        <v>84</v>
      </c>
      <c r="F114" s="13"/>
      <c r="G114" s="13"/>
      <c r="H114" s="13"/>
      <c r="I114" s="13"/>
      <c r="J114" s="13"/>
      <c r="K114" s="13"/>
      <c r="L114" s="13"/>
      <c r="M114" s="13"/>
      <c r="N114" s="13"/>
      <c r="O114" s="13" t="s">
        <v>85</v>
      </c>
    </row>
    <row r="115" customFormat="false" ht="15" hidden="false" customHeight="false" outlineLevel="0" collapsed="false">
      <c r="A115" s="13" t="s">
        <v>276</v>
      </c>
      <c r="B115" s="13" t="s">
        <v>134</v>
      </c>
      <c r="C115" s="13" t="s">
        <v>137</v>
      </c>
      <c r="D115" s="13" t="s">
        <v>138</v>
      </c>
      <c r="E115" s="13" t="s">
        <v>84</v>
      </c>
      <c r="F115" s="13"/>
      <c r="G115" s="13"/>
      <c r="H115" s="13"/>
      <c r="I115" s="13"/>
      <c r="J115" s="13"/>
      <c r="K115" s="13"/>
      <c r="L115" s="13"/>
      <c r="M115" s="13"/>
      <c r="N115" s="13"/>
      <c r="O115" s="13" t="s">
        <v>85</v>
      </c>
    </row>
    <row r="116" customFormat="false" ht="15" hidden="false" customHeight="false" outlineLevel="0" collapsed="false">
      <c r="A116" s="13" t="s">
        <v>276</v>
      </c>
      <c r="B116" s="13" t="s">
        <v>134</v>
      </c>
      <c r="C116" s="13" t="s">
        <v>139</v>
      </c>
      <c r="D116" s="13" t="s">
        <v>140</v>
      </c>
      <c r="E116" s="13" t="s">
        <v>84</v>
      </c>
      <c r="F116" s="13"/>
      <c r="G116" s="13"/>
      <c r="H116" s="13"/>
      <c r="I116" s="13"/>
      <c r="J116" s="13"/>
      <c r="K116" s="13"/>
      <c r="L116" s="13"/>
      <c r="M116" s="13"/>
      <c r="N116" s="13"/>
      <c r="O116" s="13" t="s">
        <v>85</v>
      </c>
    </row>
    <row r="117" customFormat="false" ht="15" hidden="false" customHeight="false" outlineLevel="0" collapsed="false">
      <c r="A117" s="13" t="s">
        <v>276</v>
      </c>
      <c r="B117" s="13" t="s">
        <v>141</v>
      </c>
      <c r="C117" s="13" t="s">
        <v>142</v>
      </c>
      <c r="D117" s="13" t="s">
        <v>143</v>
      </c>
      <c r="E117" s="13" t="s">
        <v>84</v>
      </c>
      <c r="F117" s="13"/>
      <c r="G117" s="13"/>
      <c r="H117" s="13"/>
      <c r="I117" s="13"/>
      <c r="J117" s="13"/>
      <c r="K117" s="13"/>
      <c r="L117" s="13"/>
      <c r="M117" s="13"/>
      <c r="N117" s="13"/>
      <c r="O117" s="13" t="s">
        <v>85</v>
      </c>
    </row>
    <row r="118" customFormat="false" ht="15" hidden="false" customHeight="false" outlineLevel="0" collapsed="false">
      <c r="A118" s="13" t="s">
        <v>276</v>
      </c>
      <c r="B118" s="13" t="s">
        <v>141</v>
      </c>
      <c r="C118" s="13" t="s">
        <v>144</v>
      </c>
      <c r="D118" s="13" t="s">
        <v>145</v>
      </c>
      <c r="E118" s="13" t="s">
        <v>84</v>
      </c>
      <c r="F118" s="13"/>
      <c r="G118" s="13"/>
      <c r="H118" s="13"/>
      <c r="I118" s="13"/>
      <c r="J118" s="13"/>
      <c r="K118" s="13"/>
      <c r="L118" s="13"/>
      <c r="M118" s="13"/>
      <c r="N118" s="13"/>
      <c r="O118" s="13" t="s">
        <v>85</v>
      </c>
    </row>
    <row r="119" customFormat="false" ht="15" hidden="false" customHeight="false" outlineLevel="0" collapsed="false">
      <c r="A119" s="13" t="s">
        <v>276</v>
      </c>
      <c r="B119" s="13" t="s">
        <v>141</v>
      </c>
      <c r="C119" s="13" t="s">
        <v>146</v>
      </c>
      <c r="D119" s="13" t="s">
        <v>147</v>
      </c>
      <c r="E119" s="13" t="s">
        <v>84</v>
      </c>
      <c r="F119" s="13"/>
      <c r="G119" s="13"/>
      <c r="H119" s="13"/>
      <c r="I119" s="13"/>
      <c r="J119" s="13"/>
      <c r="K119" s="13"/>
      <c r="L119" s="13"/>
      <c r="M119" s="13"/>
      <c r="N119" s="13"/>
      <c r="O119" s="13" t="s">
        <v>85</v>
      </c>
    </row>
    <row r="120" customFormat="false" ht="15" hidden="false" customHeight="false" outlineLevel="0" collapsed="false">
      <c r="A120" s="13" t="s">
        <v>276</v>
      </c>
      <c r="B120" s="13" t="s">
        <v>141</v>
      </c>
      <c r="C120" s="13" t="s">
        <v>148</v>
      </c>
      <c r="D120" s="13" t="s">
        <v>149</v>
      </c>
      <c r="E120" s="13" t="s">
        <v>84</v>
      </c>
      <c r="F120" s="13"/>
      <c r="G120" s="13"/>
      <c r="H120" s="13"/>
      <c r="I120" s="13"/>
      <c r="J120" s="13"/>
      <c r="K120" s="13"/>
      <c r="L120" s="13"/>
      <c r="M120" s="13"/>
      <c r="N120" s="13"/>
      <c r="O120" s="13" t="s">
        <v>85</v>
      </c>
    </row>
    <row r="121" customFormat="false" ht="15" hidden="false" customHeight="false" outlineLevel="0" collapsed="false">
      <c r="A121" s="13" t="s">
        <v>276</v>
      </c>
      <c r="B121" s="13" t="s">
        <v>141</v>
      </c>
      <c r="C121" s="13" t="s">
        <v>150</v>
      </c>
      <c r="D121" s="13" t="s">
        <v>151</v>
      </c>
      <c r="E121" s="13" t="s">
        <v>84</v>
      </c>
      <c r="F121" s="13"/>
      <c r="G121" s="13"/>
      <c r="H121" s="13"/>
      <c r="I121" s="13"/>
      <c r="J121" s="13"/>
      <c r="K121" s="13"/>
      <c r="L121" s="13"/>
      <c r="M121" s="13"/>
      <c r="N121" s="13"/>
      <c r="O121" s="13" t="s">
        <v>85</v>
      </c>
    </row>
    <row r="122" customFormat="false" ht="15" hidden="false" customHeight="false" outlineLevel="0" collapsed="false">
      <c r="A122" s="13" t="s">
        <v>276</v>
      </c>
      <c r="B122" s="13" t="s">
        <v>152</v>
      </c>
      <c r="C122" s="13" t="s">
        <v>153</v>
      </c>
      <c r="D122" s="13" t="s">
        <v>154</v>
      </c>
      <c r="E122" s="13" t="s">
        <v>84</v>
      </c>
      <c r="F122" s="13"/>
      <c r="G122" s="13"/>
      <c r="H122" s="13"/>
      <c r="I122" s="13"/>
      <c r="J122" s="13"/>
      <c r="K122" s="13"/>
      <c r="L122" s="13"/>
      <c r="M122" s="13"/>
      <c r="N122" s="13"/>
      <c r="O122" s="13" t="s">
        <v>85</v>
      </c>
    </row>
    <row r="123" customFormat="false" ht="15" hidden="false" customHeight="false" outlineLevel="0" collapsed="false">
      <c r="A123" s="13" t="s">
        <v>276</v>
      </c>
      <c r="B123" s="13" t="s">
        <v>152</v>
      </c>
      <c r="C123" s="13" t="s">
        <v>155</v>
      </c>
      <c r="D123" s="13" t="s">
        <v>156</v>
      </c>
      <c r="E123" s="13" t="s">
        <v>84</v>
      </c>
      <c r="F123" s="13"/>
      <c r="G123" s="13"/>
      <c r="H123" s="13"/>
      <c r="I123" s="13"/>
      <c r="J123" s="13"/>
      <c r="K123" s="13"/>
      <c r="L123" s="13"/>
      <c r="M123" s="13"/>
      <c r="N123" s="13"/>
      <c r="O123" s="13" t="s">
        <v>85</v>
      </c>
    </row>
    <row r="124" customFormat="false" ht="15" hidden="false" customHeight="false" outlineLevel="0" collapsed="false">
      <c r="A124" s="13" t="s">
        <v>276</v>
      </c>
      <c r="B124" s="13" t="s">
        <v>152</v>
      </c>
      <c r="C124" s="13" t="s">
        <v>157</v>
      </c>
      <c r="D124" s="13" t="s">
        <v>158</v>
      </c>
      <c r="E124" s="13" t="s">
        <v>84</v>
      </c>
      <c r="F124" s="13"/>
      <c r="G124" s="13"/>
      <c r="H124" s="13"/>
      <c r="I124" s="13"/>
      <c r="J124" s="13"/>
      <c r="K124" s="13"/>
      <c r="L124" s="13"/>
      <c r="M124" s="13"/>
      <c r="N124" s="13"/>
      <c r="O124" s="13" t="s">
        <v>85</v>
      </c>
    </row>
    <row r="125" customFormat="false" ht="15" hidden="false" customHeight="false" outlineLevel="0" collapsed="false">
      <c r="A125" s="13" t="s">
        <v>276</v>
      </c>
      <c r="B125" s="13" t="s">
        <v>152</v>
      </c>
      <c r="C125" s="13" t="s">
        <v>159</v>
      </c>
      <c r="D125" s="13" t="s">
        <v>160</v>
      </c>
      <c r="E125" s="13" t="s">
        <v>84</v>
      </c>
      <c r="F125" s="13"/>
      <c r="G125" s="13"/>
      <c r="H125" s="13"/>
      <c r="I125" s="13"/>
      <c r="J125" s="13"/>
      <c r="K125" s="13"/>
      <c r="L125" s="13"/>
      <c r="M125" s="13"/>
      <c r="N125" s="13"/>
      <c r="O125" s="13" t="s">
        <v>85</v>
      </c>
    </row>
    <row r="126" customFormat="false" ht="15" hidden="false" customHeight="false" outlineLevel="0" collapsed="false">
      <c r="A126" s="13" t="s">
        <v>276</v>
      </c>
      <c r="B126" s="13" t="s">
        <v>161</v>
      </c>
      <c r="C126" s="13" t="s">
        <v>162</v>
      </c>
      <c r="D126" s="13" t="s">
        <v>163</v>
      </c>
      <c r="E126" s="13" t="s">
        <v>84</v>
      </c>
      <c r="F126" s="13"/>
      <c r="G126" s="13"/>
      <c r="H126" s="13"/>
      <c r="I126" s="13"/>
      <c r="J126" s="13"/>
      <c r="K126" s="13"/>
      <c r="L126" s="13"/>
      <c r="M126" s="13"/>
      <c r="N126" s="13"/>
      <c r="O126" s="13" t="s">
        <v>85</v>
      </c>
    </row>
    <row r="127" customFormat="false" ht="15" hidden="false" customHeight="false" outlineLevel="0" collapsed="false">
      <c r="A127" s="13" t="s">
        <v>276</v>
      </c>
      <c r="B127" s="13" t="s">
        <v>161</v>
      </c>
      <c r="C127" s="13" t="s">
        <v>164</v>
      </c>
      <c r="D127" s="13" t="s">
        <v>165</v>
      </c>
      <c r="E127" s="13" t="s">
        <v>84</v>
      </c>
      <c r="F127" s="13"/>
      <c r="G127" s="13"/>
      <c r="H127" s="13"/>
      <c r="I127" s="13"/>
      <c r="J127" s="13"/>
      <c r="K127" s="13"/>
      <c r="L127" s="13"/>
      <c r="M127" s="13"/>
      <c r="N127" s="13"/>
      <c r="O127" s="13" t="s">
        <v>85</v>
      </c>
    </row>
    <row r="128" customFormat="false" ht="15" hidden="false" customHeight="false" outlineLevel="0" collapsed="false">
      <c r="A128" s="13" t="s">
        <v>276</v>
      </c>
      <c r="B128" s="13" t="s">
        <v>161</v>
      </c>
      <c r="C128" s="13" t="s">
        <v>166</v>
      </c>
      <c r="D128" s="13" t="s">
        <v>167</v>
      </c>
      <c r="E128" s="13" t="s">
        <v>84</v>
      </c>
      <c r="F128" s="13"/>
      <c r="G128" s="13"/>
      <c r="H128" s="13"/>
      <c r="I128" s="13"/>
      <c r="J128" s="13"/>
      <c r="K128" s="13"/>
      <c r="L128" s="13"/>
      <c r="M128" s="13"/>
      <c r="N128" s="13"/>
      <c r="O128" s="13" t="s">
        <v>85</v>
      </c>
    </row>
    <row r="129" customFormat="false" ht="15" hidden="false" customHeight="false" outlineLevel="0" collapsed="false">
      <c r="A129" s="13" t="s">
        <v>276</v>
      </c>
      <c r="B129" s="13" t="s">
        <v>161</v>
      </c>
      <c r="C129" s="13" t="s">
        <v>168</v>
      </c>
      <c r="D129" s="13" t="s">
        <v>169</v>
      </c>
      <c r="E129" s="13" t="s">
        <v>84</v>
      </c>
      <c r="F129" s="13"/>
      <c r="G129" s="13"/>
      <c r="H129" s="13"/>
      <c r="I129" s="13"/>
      <c r="J129" s="13"/>
      <c r="K129" s="13"/>
      <c r="L129" s="13"/>
      <c r="M129" s="13"/>
      <c r="N129" s="13"/>
      <c r="O129" s="13" t="s">
        <v>85</v>
      </c>
    </row>
    <row r="130" customFormat="false" ht="15" hidden="false" customHeight="false" outlineLevel="0" collapsed="false">
      <c r="A130" s="13" t="s">
        <v>276</v>
      </c>
      <c r="B130" s="13" t="s">
        <v>170</v>
      </c>
      <c r="C130" s="13" t="s">
        <v>171</v>
      </c>
      <c r="D130" s="13" t="s">
        <v>172</v>
      </c>
      <c r="E130" s="13" t="s">
        <v>84</v>
      </c>
      <c r="F130" s="13"/>
      <c r="G130" s="13"/>
      <c r="H130" s="13"/>
      <c r="I130" s="13"/>
      <c r="J130" s="13"/>
      <c r="K130" s="13"/>
      <c r="L130" s="13"/>
      <c r="M130" s="13"/>
      <c r="N130" s="13"/>
      <c r="O130" s="13" t="s">
        <v>85</v>
      </c>
    </row>
    <row r="131" customFormat="false" ht="15" hidden="false" customHeight="false" outlineLevel="0" collapsed="false">
      <c r="A131" s="13" t="s">
        <v>276</v>
      </c>
      <c r="B131" s="13" t="s">
        <v>170</v>
      </c>
      <c r="C131" s="13" t="s">
        <v>173</v>
      </c>
      <c r="D131" s="13" t="s">
        <v>174</v>
      </c>
      <c r="E131" s="13" t="s">
        <v>84</v>
      </c>
      <c r="F131" s="13"/>
      <c r="G131" s="13"/>
      <c r="H131" s="13"/>
      <c r="I131" s="13"/>
      <c r="J131" s="13"/>
      <c r="K131" s="13"/>
      <c r="L131" s="13"/>
      <c r="M131" s="13"/>
      <c r="N131" s="13"/>
      <c r="O131" s="13" t="s">
        <v>85</v>
      </c>
    </row>
    <row r="132" customFormat="false" ht="15" hidden="false" customHeight="false" outlineLevel="0" collapsed="false">
      <c r="A132" s="13" t="s">
        <v>276</v>
      </c>
      <c r="B132" s="13" t="s">
        <v>170</v>
      </c>
      <c r="C132" s="13" t="s">
        <v>175</v>
      </c>
      <c r="D132" s="13" t="s">
        <v>176</v>
      </c>
      <c r="E132" s="13" t="s">
        <v>84</v>
      </c>
      <c r="F132" s="13"/>
      <c r="G132" s="13"/>
      <c r="H132" s="13"/>
      <c r="I132" s="13"/>
      <c r="J132" s="13"/>
      <c r="K132" s="13"/>
      <c r="L132" s="13"/>
      <c r="M132" s="13"/>
      <c r="N132" s="13"/>
      <c r="O132" s="13" t="s">
        <v>85</v>
      </c>
    </row>
    <row r="133" customFormat="false" ht="15" hidden="false" customHeight="false" outlineLevel="0" collapsed="false">
      <c r="A133" s="13" t="s">
        <v>276</v>
      </c>
      <c r="B133" s="13" t="s">
        <v>170</v>
      </c>
      <c r="C133" s="13" t="s">
        <v>177</v>
      </c>
      <c r="D133" s="13" t="s">
        <v>178</v>
      </c>
      <c r="E133" s="13" t="s">
        <v>84</v>
      </c>
      <c r="F133" s="13"/>
      <c r="G133" s="13"/>
      <c r="H133" s="13"/>
      <c r="I133" s="13"/>
      <c r="J133" s="13"/>
      <c r="K133" s="13"/>
      <c r="L133" s="13"/>
      <c r="M133" s="13"/>
      <c r="N133" s="13"/>
      <c r="O133" s="13" t="s">
        <v>85</v>
      </c>
    </row>
    <row r="134" customFormat="false" ht="15" hidden="false" customHeight="false" outlineLevel="0" collapsed="false">
      <c r="A134" s="13" t="s">
        <v>276</v>
      </c>
      <c r="B134" s="13" t="s">
        <v>170</v>
      </c>
      <c r="C134" s="13" t="s">
        <v>179</v>
      </c>
      <c r="D134" s="13" t="s">
        <v>180</v>
      </c>
      <c r="E134" s="13" t="s">
        <v>84</v>
      </c>
      <c r="F134" s="13"/>
      <c r="G134" s="13"/>
      <c r="H134" s="13"/>
      <c r="I134" s="13"/>
      <c r="J134" s="13"/>
      <c r="K134" s="13"/>
      <c r="L134" s="13"/>
      <c r="M134" s="13"/>
      <c r="N134" s="13"/>
      <c r="O134" s="13" t="s">
        <v>85</v>
      </c>
    </row>
    <row r="135" customFormat="false" ht="15" hidden="false" customHeight="false" outlineLevel="0" collapsed="false">
      <c r="A135" s="13" t="s">
        <v>277</v>
      </c>
      <c r="B135" s="13" t="s">
        <v>81</v>
      </c>
      <c r="C135" s="13" t="s">
        <v>82</v>
      </c>
      <c r="D135" s="13" t="s">
        <v>83</v>
      </c>
      <c r="E135" s="13" t="s">
        <v>84</v>
      </c>
      <c r="F135" s="13"/>
      <c r="G135" s="13"/>
      <c r="H135" s="13"/>
      <c r="I135" s="13"/>
      <c r="J135" s="13"/>
      <c r="K135" s="13"/>
      <c r="L135" s="13"/>
      <c r="M135" s="13"/>
      <c r="N135" s="13"/>
      <c r="O135" s="13" t="s">
        <v>85</v>
      </c>
    </row>
    <row r="136" customFormat="false" ht="15" hidden="false" customHeight="false" outlineLevel="0" collapsed="false">
      <c r="A136" s="13" t="s">
        <v>277</v>
      </c>
      <c r="B136" s="13" t="s">
        <v>81</v>
      </c>
      <c r="C136" s="13" t="s">
        <v>86</v>
      </c>
      <c r="D136" s="13" t="s">
        <v>87</v>
      </c>
      <c r="E136" s="13" t="s">
        <v>84</v>
      </c>
      <c r="F136" s="13"/>
      <c r="G136" s="13"/>
      <c r="H136" s="13"/>
      <c r="I136" s="13"/>
      <c r="J136" s="13"/>
      <c r="K136" s="13"/>
      <c r="L136" s="13"/>
      <c r="M136" s="13"/>
      <c r="N136" s="13"/>
      <c r="O136" s="13" t="s">
        <v>85</v>
      </c>
    </row>
    <row r="137" customFormat="false" ht="15" hidden="false" customHeight="false" outlineLevel="0" collapsed="false">
      <c r="A137" s="13" t="s">
        <v>277</v>
      </c>
      <c r="B137" s="13" t="s">
        <v>81</v>
      </c>
      <c r="C137" s="13" t="s">
        <v>88</v>
      </c>
      <c r="D137" s="13" t="s">
        <v>89</v>
      </c>
      <c r="E137" s="13" t="s">
        <v>84</v>
      </c>
      <c r="F137" s="13"/>
      <c r="G137" s="13"/>
      <c r="H137" s="13"/>
      <c r="I137" s="13"/>
      <c r="J137" s="13"/>
      <c r="K137" s="13"/>
      <c r="L137" s="13"/>
      <c r="M137" s="13"/>
      <c r="N137" s="13"/>
      <c r="O137" s="13" t="s">
        <v>85</v>
      </c>
    </row>
    <row r="138" customFormat="false" ht="15" hidden="false" customHeight="false" outlineLevel="0" collapsed="false">
      <c r="A138" s="13" t="s">
        <v>277</v>
      </c>
      <c r="B138" s="13" t="s">
        <v>81</v>
      </c>
      <c r="C138" s="13" t="s">
        <v>90</v>
      </c>
      <c r="D138" s="13" t="s">
        <v>91</v>
      </c>
      <c r="E138" s="13" t="s">
        <v>84</v>
      </c>
      <c r="F138" s="13"/>
      <c r="G138" s="13"/>
      <c r="H138" s="13"/>
      <c r="I138" s="13"/>
      <c r="J138" s="13"/>
      <c r="K138" s="13"/>
      <c r="L138" s="13"/>
      <c r="M138" s="13"/>
      <c r="N138" s="13"/>
      <c r="O138" s="13" t="s">
        <v>85</v>
      </c>
    </row>
    <row r="139" customFormat="false" ht="15" hidden="false" customHeight="false" outlineLevel="0" collapsed="false">
      <c r="A139" s="13" t="s">
        <v>277</v>
      </c>
      <c r="B139" s="13" t="s">
        <v>81</v>
      </c>
      <c r="C139" s="13" t="s">
        <v>92</v>
      </c>
      <c r="D139" s="13" t="s">
        <v>93</v>
      </c>
      <c r="E139" s="13" t="s">
        <v>84</v>
      </c>
      <c r="F139" s="13"/>
      <c r="G139" s="13"/>
      <c r="H139" s="13"/>
      <c r="I139" s="13"/>
      <c r="J139" s="13"/>
      <c r="K139" s="13"/>
      <c r="L139" s="13"/>
      <c r="M139" s="13"/>
      <c r="N139" s="13"/>
      <c r="O139" s="13" t="s">
        <v>85</v>
      </c>
    </row>
    <row r="140" customFormat="false" ht="15" hidden="false" customHeight="false" outlineLevel="0" collapsed="false">
      <c r="A140" s="13" t="s">
        <v>277</v>
      </c>
      <c r="B140" s="13" t="s">
        <v>81</v>
      </c>
      <c r="C140" s="13" t="s">
        <v>94</v>
      </c>
      <c r="D140" s="13" t="s">
        <v>95</v>
      </c>
      <c r="E140" s="13" t="s">
        <v>84</v>
      </c>
      <c r="F140" s="13"/>
      <c r="G140" s="13"/>
      <c r="H140" s="13"/>
      <c r="I140" s="13"/>
      <c r="J140" s="13"/>
      <c r="K140" s="13"/>
      <c r="L140" s="13"/>
      <c r="M140" s="13"/>
      <c r="N140" s="13"/>
      <c r="O140" s="13" t="s">
        <v>85</v>
      </c>
    </row>
    <row r="141" customFormat="false" ht="15" hidden="false" customHeight="false" outlineLevel="0" collapsed="false">
      <c r="A141" s="13" t="s">
        <v>277</v>
      </c>
      <c r="B141" s="13" t="s">
        <v>96</v>
      </c>
      <c r="C141" s="13" t="s">
        <v>97</v>
      </c>
      <c r="D141" s="13" t="s">
        <v>98</v>
      </c>
      <c r="E141" s="13" t="s">
        <v>84</v>
      </c>
      <c r="F141" s="13"/>
      <c r="G141" s="13"/>
      <c r="H141" s="13"/>
      <c r="I141" s="13"/>
      <c r="J141" s="13"/>
      <c r="K141" s="13"/>
      <c r="L141" s="13"/>
      <c r="M141" s="13"/>
      <c r="N141" s="13"/>
      <c r="O141" s="13" t="s">
        <v>85</v>
      </c>
    </row>
    <row r="142" customFormat="false" ht="15" hidden="false" customHeight="false" outlineLevel="0" collapsed="false">
      <c r="A142" s="13" t="s">
        <v>277</v>
      </c>
      <c r="B142" s="13" t="s">
        <v>96</v>
      </c>
      <c r="C142" s="13" t="s">
        <v>99</v>
      </c>
      <c r="D142" s="13" t="s">
        <v>100</v>
      </c>
      <c r="E142" s="13" t="s">
        <v>84</v>
      </c>
      <c r="F142" s="13"/>
      <c r="G142" s="13"/>
      <c r="H142" s="13"/>
      <c r="I142" s="13"/>
      <c r="J142" s="13"/>
      <c r="K142" s="13"/>
      <c r="L142" s="13"/>
      <c r="M142" s="13"/>
      <c r="N142" s="13"/>
      <c r="O142" s="13" t="s">
        <v>85</v>
      </c>
    </row>
    <row r="143" customFormat="false" ht="15" hidden="false" customHeight="false" outlineLevel="0" collapsed="false">
      <c r="A143" s="13" t="s">
        <v>277</v>
      </c>
      <c r="B143" s="13" t="s">
        <v>96</v>
      </c>
      <c r="C143" s="13" t="s">
        <v>101</v>
      </c>
      <c r="D143" s="13" t="s">
        <v>102</v>
      </c>
      <c r="E143" s="13" t="s">
        <v>84</v>
      </c>
      <c r="F143" s="13"/>
      <c r="G143" s="13"/>
      <c r="H143" s="13"/>
      <c r="I143" s="13"/>
      <c r="J143" s="13"/>
      <c r="K143" s="13"/>
      <c r="L143" s="13"/>
      <c r="M143" s="13"/>
      <c r="N143" s="13"/>
      <c r="O143" s="13" t="s">
        <v>85</v>
      </c>
    </row>
    <row r="144" customFormat="false" ht="15" hidden="false" customHeight="false" outlineLevel="0" collapsed="false">
      <c r="A144" s="13" t="s">
        <v>277</v>
      </c>
      <c r="B144" s="13" t="s">
        <v>96</v>
      </c>
      <c r="C144" s="13" t="s">
        <v>103</v>
      </c>
      <c r="D144" s="13" t="s">
        <v>104</v>
      </c>
      <c r="E144" s="13" t="s">
        <v>84</v>
      </c>
      <c r="F144" s="13"/>
      <c r="G144" s="13"/>
      <c r="H144" s="13"/>
      <c r="I144" s="13"/>
      <c r="J144" s="13"/>
      <c r="K144" s="13"/>
      <c r="L144" s="13"/>
      <c r="M144" s="13"/>
      <c r="N144" s="13"/>
      <c r="O144" s="13" t="s">
        <v>85</v>
      </c>
    </row>
    <row r="145" customFormat="false" ht="15" hidden="false" customHeight="false" outlineLevel="0" collapsed="false">
      <c r="A145" s="13" t="s">
        <v>277</v>
      </c>
      <c r="B145" s="13" t="s">
        <v>96</v>
      </c>
      <c r="C145" s="13" t="s">
        <v>105</v>
      </c>
      <c r="D145" s="13" t="s">
        <v>106</v>
      </c>
      <c r="E145" s="13" t="s">
        <v>84</v>
      </c>
      <c r="F145" s="13"/>
      <c r="G145" s="13"/>
      <c r="H145" s="13"/>
      <c r="I145" s="13"/>
      <c r="J145" s="13"/>
      <c r="K145" s="13"/>
      <c r="L145" s="13"/>
      <c r="M145" s="13"/>
      <c r="N145" s="13"/>
      <c r="O145" s="13" t="s">
        <v>85</v>
      </c>
    </row>
    <row r="146" customFormat="false" ht="15" hidden="false" customHeight="false" outlineLevel="0" collapsed="false">
      <c r="A146" s="13" t="s">
        <v>277</v>
      </c>
      <c r="B146" s="13" t="s">
        <v>107</v>
      </c>
      <c r="C146" s="13" t="s">
        <v>108</v>
      </c>
      <c r="D146" s="13" t="s">
        <v>109</v>
      </c>
      <c r="E146" s="13" t="s">
        <v>84</v>
      </c>
      <c r="F146" s="13"/>
      <c r="G146" s="13"/>
      <c r="H146" s="13"/>
      <c r="I146" s="13"/>
      <c r="J146" s="13"/>
      <c r="K146" s="13"/>
      <c r="L146" s="13"/>
      <c r="M146" s="13"/>
      <c r="N146" s="13"/>
      <c r="O146" s="13" t="s">
        <v>85</v>
      </c>
    </row>
    <row r="147" customFormat="false" ht="15" hidden="false" customHeight="false" outlineLevel="0" collapsed="false">
      <c r="A147" s="13" t="s">
        <v>277</v>
      </c>
      <c r="B147" s="13" t="s">
        <v>107</v>
      </c>
      <c r="C147" s="13" t="s">
        <v>110</v>
      </c>
      <c r="D147" s="13" t="s">
        <v>111</v>
      </c>
      <c r="E147" s="13" t="s">
        <v>84</v>
      </c>
      <c r="F147" s="13"/>
      <c r="G147" s="13"/>
      <c r="H147" s="13"/>
      <c r="I147" s="13"/>
      <c r="J147" s="13"/>
      <c r="K147" s="13"/>
      <c r="L147" s="13"/>
      <c r="M147" s="13"/>
      <c r="N147" s="13"/>
      <c r="O147" s="13" t="s">
        <v>85</v>
      </c>
    </row>
    <row r="148" customFormat="false" ht="15" hidden="false" customHeight="false" outlineLevel="0" collapsed="false">
      <c r="A148" s="13" t="s">
        <v>277</v>
      </c>
      <c r="B148" s="13" t="s">
        <v>107</v>
      </c>
      <c r="C148" s="13" t="s">
        <v>112</v>
      </c>
      <c r="D148" s="13" t="s">
        <v>113</v>
      </c>
      <c r="E148" s="13" t="s">
        <v>84</v>
      </c>
      <c r="F148" s="13"/>
      <c r="G148" s="13"/>
      <c r="H148" s="13"/>
      <c r="I148" s="13"/>
      <c r="J148" s="13"/>
      <c r="K148" s="13"/>
      <c r="L148" s="13"/>
      <c r="M148" s="13"/>
      <c r="N148" s="13"/>
      <c r="O148" s="13" t="s">
        <v>85</v>
      </c>
    </row>
    <row r="149" customFormat="false" ht="15" hidden="false" customHeight="false" outlineLevel="0" collapsed="false">
      <c r="A149" s="13" t="s">
        <v>277</v>
      </c>
      <c r="B149" s="13" t="s">
        <v>107</v>
      </c>
      <c r="C149" s="13" t="s">
        <v>114</v>
      </c>
      <c r="D149" s="13" t="s">
        <v>115</v>
      </c>
      <c r="E149" s="13" t="s">
        <v>84</v>
      </c>
      <c r="F149" s="13"/>
      <c r="G149" s="13"/>
      <c r="H149" s="13"/>
      <c r="I149" s="13"/>
      <c r="J149" s="13"/>
      <c r="K149" s="13"/>
      <c r="L149" s="13"/>
      <c r="M149" s="13"/>
      <c r="N149" s="13"/>
      <c r="O149" s="13" t="s">
        <v>85</v>
      </c>
    </row>
    <row r="150" customFormat="false" ht="15" hidden="false" customHeight="false" outlineLevel="0" collapsed="false">
      <c r="A150" s="13" t="s">
        <v>277</v>
      </c>
      <c r="B150" s="13" t="s">
        <v>116</v>
      </c>
      <c r="C150" s="13" t="s">
        <v>117</v>
      </c>
      <c r="D150" s="13" t="s">
        <v>118</v>
      </c>
      <c r="E150" s="13" t="s">
        <v>84</v>
      </c>
      <c r="F150" s="13"/>
      <c r="G150" s="13"/>
      <c r="H150" s="13"/>
      <c r="I150" s="13"/>
      <c r="J150" s="13"/>
      <c r="K150" s="13"/>
      <c r="L150" s="13"/>
      <c r="M150" s="13"/>
      <c r="N150" s="13"/>
      <c r="O150" s="13" t="s">
        <v>85</v>
      </c>
    </row>
    <row r="151" customFormat="false" ht="15" hidden="false" customHeight="false" outlineLevel="0" collapsed="false">
      <c r="A151" s="13" t="s">
        <v>277</v>
      </c>
      <c r="B151" s="13" t="s">
        <v>116</v>
      </c>
      <c r="C151" s="13" t="s">
        <v>119</v>
      </c>
      <c r="D151" s="13" t="s">
        <v>120</v>
      </c>
      <c r="E151" s="13" t="s">
        <v>84</v>
      </c>
      <c r="F151" s="13"/>
      <c r="G151" s="13"/>
      <c r="H151" s="13"/>
      <c r="I151" s="13"/>
      <c r="J151" s="13"/>
      <c r="K151" s="13"/>
      <c r="L151" s="13"/>
      <c r="M151" s="13"/>
      <c r="N151" s="13"/>
      <c r="O151" s="13" t="s">
        <v>85</v>
      </c>
    </row>
    <row r="152" customFormat="false" ht="15" hidden="false" customHeight="false" outlineLevel="0" collapsed="false">
      <c r="A152" s="13" t="s">
        <v>277</v>
      </c>
      <c r="B152" s="13" t="s">
        <v>116</v>
      </c>
      <c r="C152" s="13" t="s">
        <v>121</v>
      </c>
      <c r="D152" s="13" t="s">
        <v>122</v>
      </c>
      <c r="E152" s="13" t="s">
        <v>84</v>
      </c>
      <c r="F152" s="13"/>
      <c r="G152" s="13"/>
      <c r="H152" s="13"/>
      <c r="I152" s="13"/>
      <c r="J152" s="13"/>
      <c r="K152" s="13"/>
      <c r="L152" s="13"/>
      <c r="M152" s="13"/>
      <c r="N152" s="13"/>
      <c r="O152" s="13" t="s">
        <v>85</v>
      </c>
    </row>
    <row r="153" customFormat="false" ht="15" hidden="false" customHeight="false" outlineLevel="0" collapsed="false">
      <c r="A153" s="13" t="s">
        <v>277</v>
      </c>
      <c r="B153" s="13" t="s">
        <v>116</v>
      </c>
      <c r="C153" s="13" t="s">
        <v>123</v>
      </c>
      <c r="D153" s="13" t="s">
        <v>124</v>
      </c>
      <c r="E153" s="13" t="s">
        <v>84</v>
      </c>
      <c r="F153" s="13"/>
      <c r="G153" s="13"/>
      <c r="H153" s="13"/>
      <c r="I153" s="13"/>
      <c r="J153" s="13"/>
      <c r="K153" s="13"/>
      <c r="L153" s="13"/>
      <c r="M153" s="13"/>
      <c r="N153" s="13"/>
      <c r="O153" s="13" t="s">
        <v>85</v>
      </c>
    </row>
    <row r="154" customFormat="false" ht="15" hidden="false" customHeight="false" outlineLevel="0" collapsed="false">
      <c r="A154" s="13" t="s">
        <v>277</v>
      </c>
      <c r="B154" s="13" t="s">
        <v>125</v>
      </c>
      <c r="C154" s="13" t="s">
        <v>126</v>
      </c>
      <c r="D154" s="13" t="s">
        <v>127</v>
      </c>
      <c r="E154" s="13" t="s">
        <v>84</v>
      </c>
      <c r="F154" s="13"/>
      <c r="G154" s="13"/>
      <c r="H154" s="13"/>
      <c r="I154" s="13"/>
      <c r="J154" s="13"/>
      <c r="K154" s="13"/>
      <c r="L154" s="13"/>
      <c r="M154" s="13"/>
      <c r="N154" s="13"/>
      <c r="O154" s="13" t="s">
        <v>85</v>
      </c>
    </row>
    <row r="155" customFormat="false" ht="15" hidden="false" customHeight="false" outlineLevel="0" collapsed="false">
      <c r="A155" s="13" t="s">
        <v>277</v>
      </c>
      <c r="B155" s="13" t="s">
        <v>125</v>
      </c>
      <c r="C155" s="13" t="s">
        <v>128</v>
      </c>
      <c r="D155" s="13" t="s">
        <v>129</v>
      </c>
      <c r="E155" s="13" t="s">
        <v>84</v>
      </c>
      <c r="F155" s="13"/>
      <c r="G155" s="13"/>
      <c r="H155" s="13"/>
      <c r="I155" s="13"/>
      <c r="J155" s="13"/>
      <c r="K155" s="13"/>
      <c r="L155" s="13"/>
      <c r="M155" s="13"/>
      <c r="N155" s="13"/>
      <c r="O155" s="13" t="s">
        <v>85</v>
      </c>
    </row>
    <row r="156" customFormat="false" ht="15" hidden="false" customHeight="false" outlineLevel="0" collapsed="false">
      <c r="A156" s="13" t="s">
        <v>277</v>
      </c>
      <c r="B156" s="13" t="s">
        <v>125</v>
      </c>
      <c r="C156" s="13" t="s">
        <v>130</v>
      </c>
      <c r="D156" s="13" t="s">
        <v>131</v>
      </c>
      <c r="E156" s="13" t="s">
        <v>84</v>
      </c>
      <c r="F156" s="13"/>
      <c r="G156" s="13"/>
      <c r="H156" s="13"/>
      <c r="I156" s="13"/>
      <c r="J156" s="13"/>
      <c r="K156" s="13"/>
      <c r="L156" s="13"/>
      <c r="M156" s="13"/>
      <c r="N156" s="13"/>
      <c r="O156" s="13" t="s">
        <v>85</v>
      </c>
    </row>
    <row r="157" customFormat="false" ht="15" hidden="false" customHeight="false" outlineLevel="0" collapsed="false">
      <c r="A157" s="13" t="s">
        <v>277</v>
      </c>
      <c r="B157" s="13" t="s">
        <v>125</v>
      </c>
      <c r="C157" s="13" t="s">
        <v>132</v>
      </c>
      <c r="D157" s="13" t="s">
        <v>133</v>
      </c>
      <c r="E157" s="13" t="s">
        <v>84</v>
      </c>
      <c r="F157" s="13"/>
      <c r="G157" s="13"/>
      <c r="H157" s="13"/>
      <c r="I157" s="13"/>
      <c r="J157" s="13"/>
      <c r="K157" s="13"/>
      <c r="L157" s="13"/>
      <c r="M157" s="13"/>
      <c r="N157" s="13"/>
      <c r="O157" s="13" t="s">
        <v>85</v>
      </c>
    </row>
    <row r="158" customFormat="false" ht="15" hidden="false" customHeight="false" outlineLevel="0" collapsed="false">
      <c r="A158" s="13" t="s">
        <v>277</v>
      </c>
      <c r="B158" s="13" t="s">
        <v>134</v>
      </c>
      <c r="C158" s="13" t="s">
        <v>135</v>
      </c>
      <c r="D158" s="13" t="s">
        <v>136</v>
      </c>
      <c r="E158" s="13" t="s">
        <v>84</v>
      </c>
      <c r="F158" s="13"/>
      <c r="G158" s="13"/>
      <c r="H158" s="13"/>
      <c r="I158" s="13"/>
      <c r="J158" s="13"/>
      <c r="K158" s="13"/>
      <c r="L158" s="13"/>
      <c r="M158" s="13"/>
      <c r="N158" s="13"/>
      <c r="O158" s="13" t="s">
        <v>85</v>
      </c>
    </row>
    <row r="159" customFormat="false" ht="15" hidden="false" customHeight="false" outlineLevel="0" collapsed="false">
      <c r="A159" s="13" t="s">
        <v>277</v>
      </c>
      <c r="B159" s="13" t="s">
        <v>134</v>
      </c>
      <c r="C159" s="13" t="s">
        <v>137</v>
      </c>
      <c r="D159" s="13" t="s">
        <v>138</v>
      </c>
      <c r="E159" s="13" t="s">
        <v>84</v>
      </c>
      <c r="F159" s="13"/>
      <c r="G159" s="13"/>
      <c r="H159" s="13"/>
      <c r="I159" s="13"/>
      <c r="J159" s="13"/>
      <c r="K159" s="13"/>
      <c r="L159" s="13"/>
      <c r="M159" s="13"/>
      <c r="N159" s="13"/>
      <c r="O159" s="13" t="s">
        <v>85</v>
      </c>
    </row>
    <row r="160" customFormat="false" ht="15" hidden="false" customHeight="false" outlineLevel="0" collapsed="false">
      <c r="A160" s="13" t="s">
        <v>277</v>
      </c>
      <c r="B160" s="13" t="s">
        <v>134</v>
      </c>
      <c r="C160" s="13" t="s">
        <v>139</v>
      </c>
      <c r="D160" s="13" t="s">
        <v>140</v>
      </c>
      <c r="E160" s="13" t="s">
        <v>84</v>
      </c>
      <c r="F160" s="13"/>
      <c r="G160" s="13"/>
      <c r="H160" s="13"/>
      <c r="I160" s="13"/>
      <c r="J160" s="13"/>
      <c r="K160" s="13"/>
      <c r="L160" s="13"/>
      <c r="M160" s="13"/>
      <c r="N160" s="13"/>
      <c r="O160" s="13" t="s">
        <v>85</v>
      </c>
    </row>
    <row r="161" customFormat="false" ht="15" hidden="false" customHeight="false" outlineLevel="0" collapsed="false">
      <c r="A161" s="13" t="s">
        <v>277</v>
      </c>
      <c r="B161" s="13" t="s">
        <v>141</v>
      </c>
      <c r="C161" s="13" t="s">
        <v>142</v>
      </c>
      <c r="D161" s="13" t="s">
        <v>143</v>
      </c>
      <c r="E161" s="13" t="s">
        <v>84</v>
      </c>
      <c r="F161" s="13"/>
      <c r="G161" s="13"/>
      <c r="H161" s="13"/>
      <c r="I161" s="13"/>
      <c r="J161" s="13"/>
      <c r="K161" s="13"/>
      <c r="L161" s="13"/>
      <c r="M161" s="13"/>
      <c r="N161" s="13"/>
      <c r="O161" s="13" t="s">
        <v>85</v>
      </c>
    </row>
    <row r="162" customFormat="false" ht="15" hidden="false" customHeight="false" outlineLevel="0" collapsed="false">
      <c r="A162" s="13" t="s">
        <v>277</v>
      </c>
      <c r="B162" s="13" t="s">
        <v>141</v>
      </c>
      <c r="C162" s="13" t="s">
        <v>144</v>
      </c>
      <c r="D162" s="13" t="s">
        <v>145</v>
      </c>
      <c r="E162" s="13" t="s">
        <v>84</v>
      </c>
      <c r="F162" s="13"/>
      <c r="G162" s="13"/>
      <c r="H162" s="13"/>
      <c r="I162" s="13"/>
      <c r="J162" s="13"/>
      <c r="K162" s="13"/>
      <c r="L162" s="13"/>
      <c r="M162" s="13"/>
      <c r="N162" s="13"/>
      <c r="O162" s="13" t="s">
        <v>85</v>
      </c>
    </row>
    <row r="163" customFormat="false" ht="15" hidden="false" customHeight="false" outlineLevel="0" collapsed="false">
      <c r="A163" s="13" t="s">
        <v>277</v>
      </c>
      <c r="B163" s="13" t="s">
        <v>141</v>
      </c>
      <c r="C163" s="13" t="s">
        <v>146</v>
      </c>
      <c r="D163" s="13" t="s">
        <v>147</v>
      </c>
      <c r="E163" s="13" t="s">
        <v>84</v>
      </c>
      <c r="F163" s="13"/>
      <c r="G163" s="13"/>
      <c r="H163" s="13"/>
      <c r="I163" s="13"/>
      <c r="J163" s="13"/>
      <c r="K163" s="13"/>
      <c r="L163" s="13"/>
      <c r="M163" s="13"/>
      <c r="N163" s="13"/>
      <c r="O163" s="13" t="s">
        <v>85</v>
      </c>
    </row>
    <row r="164" customFormat="false" ht="15" hidden="false" customHeight="false" outlineLevel="0" collapsed="false">
      <c r="A164" s="13" t="s">
        <v>277</v>
      </c>
      <c r="B164" s="13" t="s">
        <v>141</v>
      </c>
      <c r="C164" s="13" t="s">
        <v>148</v>
      </c>
      <c r="D164" s="13" t="s">
        <v>149</v>
      </c>
      <c r="E164" s="13" t="s">
        <v>84</v>
      </c>
      <c r="F164" s="13"/>
      <c r="G164" s="13"/>
      <c r="H164" s="13"/>
      <c r="I164" s="13"/>
      <c r="J164" s="13"/>
      <c r="K164" s="13"/>
      <c r="L164" s="13"/>
      <c r="M164" s="13"/>
      <c r="N164" s="13"/>
      <c r="O164" s="13" t="s">
        <v>85</v>
      </c>
    </row>
    <row r="165" customFormat="false" ht="15" hidden="false" customHeight="false" outlineLevel="0" collapsed="false">
      <c r="A165" s="13" t="s">
        <v>277</v>
      </c>
      <c r="B165" s="13" t="s">
        <v>141</v>
      </c>
      <c r="C165" s="13" t="s">
        <v>150</v>
      </c>
      <c r="D165" s="13" t="s">
        <v>151</v>
      </c>
      <c r="E165" s="13" t="s">
        <v>84</v>
      </c>
      <c r="F165" s="13"/>
      <c r="G165" s="13"/>
      <c r="H165" s="13"/>
      <c r="I165" s="13"/>
      <c r="J165" s="13"/>
      <c r="K165" s="13"/>
      <c r="L165" s="13"/>
      <c r="M165" s="13"/>
      <c r="N165" s="13"/>
      <c r="O165" s="13" t="s">
        <v>85</v>
      </c>
    </row>
    <row r="166" customFormat="false" ht="15" hidden="false" customHeight="false" outlineLevel="0" collapsed="false">
      <c r="A166" s="13" t="s">
        <v>277</v>
      </c>
      <c r="B166" s="13" t="s">
        <v>152</v>
      </c>
      <c r="C166" s="13" t="s">
        <v>153</v>
      </c>
      <c r="D166" s="13" t="s">
        <v>154</v>
      </c>
      <c r="E166" s="13" t="s">
        <v>84</v>
      </c>
      <c r="F166" s="13"/>
      <c r="G166" s="13"/>
      <c r="H166" s="13"/>
      <c r="I166" s="13"/>
      <c r="J166" s="13"/>
      <c r="K166" s="13"/>
      <c r="L166" s="13"/>
      <c r="M166" s="13"/>
      <c r="N166" s="13"/>
      <c r="O166" s="13" t="s">
        <v>85</v>
      </c>
    </row>
    <row r="167" customFormat="false" ht="15" hidden="false" customHeight="false" outlineLevel="0" collapsed="false">
      <c r="A167" s="13" t="s">
        <v>277</v>
      </c>
      <c r="B167" s="13" t="s">
        <v>152</v>
      </c>
      <c r="C167" s="13" t="s">
        <v>155</v>
      </c>
      <c r="D167" s="13" t="s">
        <v>156</v>
      </c>
      <c r="E167" s="13" t="s">
        <v>84</v>
      </c>
      <c r="F167" s="13"/>
      <c r="G167" s="13"/>
      <c r="H167" s="13"/>
      <c r="I167" s="13"/>
      <c r="J167" s="13"/>
      <c r="K167" s="13"/>
      <c r="L167" s="13"/>
      <c r="M167" s="13"/>
      <c r="N167" s="13"/>
      <c r="O167" s="13" t="s">
        <v>85</v>
      </c>
    </row>
    <row r="168" customFormat="false" ht="15" hidden="false" customHeight="false" outlineLevel="0" collapsed="false">
      <c r="A168" s="13" t="s">
        <v>277</v>
      </c>
      <c r="B168" s="13" t="s">
        <v>152</v>
      </c>
      <c r="C168" s="13" t="s">
        <v>157</v>
      </c>
      <c r="D168" s="13" t="s">
        <v>158</v>
      </c>
      <c r="E168" s="13" t="s">
        <v>84</v>
      </c>
      <c r="F168" s="13"/>
      <c r="G168" s="13"/>
      <c r="H168" s="13"/>
      <c r="I168" s="13"/>
      <c r="J168" s="13"/>
      <c r="K168" s="13"/>
      <c r="L168" s="13"/>
      <c r="M168" s="13"/>
      <c r="N168" s="13"/>
      <c r="O168" s="13" t="s">
        <v>85</v>
      </c>
    </row>
    <row r="169" customFormat="false" ht="15" hidden="false" customHeight="false" outlineLevel="0" collapsed="false">
      <c r="A169" s="13" t="s">
        <v>277</v>
      </c>
      <c r="B169" s="13" t="s">
        <v>152</v>
      </c>
      <c r="C169" s="13" t="s">
        <v>159</v>
      </c>
      <c r="D169" s="13" t="s">
        <v>160</v>
      </c>
      <c r="E169" s="13" t="s">
        <v>84</v>
      </c>
      <c r="F169" s="13"/>
      <c r="G169" s="13"/>
      <c r="H169" s="13"/>
      <c r="I169" s="13"/>
      <c r="J169" s="13"/>
      <c r="K169" s="13"/>
      <c r="L169" s="13"/>
      <c r="M169" s="13"/>
      <c r="N169" s="13"/>
      <c r="O169" s="13" t="s">
        <v>85</v>
      </c>
    </row>
    <row r="170" customFormat="false" ht="15" hidden="false" customHeight="false" outlineLevel="0" collapsed="false">
      <c r="A170" s="13" t="s">
        <v>277</v>
      </c>
      <c r="B170" s="13" t="s">
        <v>161</v>
      </c>
      <c r="C170" s="13" t="s">
        <v>162</v>
      </c>
      <c r="D170" s="13" t="s">
        <v>163</v>
      </c>
      <c r="E170" s="13" t="s">
        <v>84</v>
      </c>
      <c r="F170" s="13"/>
      <c r="G170" s="13"/>
      <c r="H170" s="13"/>
      <c r="I170" s="13"/>
      <c r="J170" s="13"/>
      <c r="K170" s="13"/>
      <c r="L170" s="13"/>
      <c r="M170" s="13"/>
      <c r="N170" s="13"/>
      <c r="O170" s="13" t="s">
        <v>85</v>
      </c>
    </row>
    <row r="171" customFormat="false" ht="15" hidden="false" customHeight="false" outlineLevel="0" collapsed="false">
      <c r="A171" s="13" t="s">
        <v>277</v>
      </c>
      <c r="B171" s="13" t="s">
        <v>161</v>
      </c>
      <c r="C171" s="13" t="s">
        <v>164</v>
      </c>
      <c r="D171" s="13" t="s">
        <v>165</v>
      </c>
      <c r="E171" s="13" t="s">
        <v>84</v>
      </c>
      <c r="F171" s="13"/>
      <c r="G171" s="13"/>
      <c r="H171" s="13"/>
      <c r="I171" s="13"/>
      <c r="J171" s="13"/>
      <c r="K171" s="13"/>
      <c r="L171" s="13"/>
      <c r="M171" s="13"/>
      <c r="N171" s="13"/>
      <c r="O171" s="13" t="s">
        <v>85</v>
      </c>
    </row>
    <row r="172" customFormat="false" ht="15" hidden="false" customHeight="false" outlineLevel="0" collapsed="false">
      <c r="A172" s="13" t="s">
        <v>277</v>
      </c>
      <c r="B172" s="13" t="s">
        <v>161</v>
      </c>
      <c r="C172" s="13" t="s">
        <v>166</v>
      </c>
      <c r="D172" s="13" t="s">
        <v>167</v>
      </c>
      <c r="E172" s="13" t="s">
        <v>84</v>
      </c>
      <c r="F172" s="13"/>
      <c r="G172" s="13"/>
      <c r="H172" s="13"/>
      <c r="I172" s="13"/>
      <c r="J172" s="13"/>
      <c r="K172" s="13"/>
      <c r="L172" s="13"/>
      <c r="M172" s="13"/>
      <c r="N172" s="13"/>
      <c r="O172" s="13" t="s">
        <v>85</v>
      </c>
    </row>
    <row r="173" customFormat="false" ht="15" hidden="false" customHeight="false" outlineLevel="0" collapsed="false">
      <c r="A173" s="13" t="s">
        <v>277</v>
      </c>
      <c r="B173" s="13" t="s">
        <v>161</v>
      </c>
      <c r="C173" s="13" t="s">
        <v>168</v>
      </c>
      <c r="D173" s="13" t="s">
        <v>169</v>
      </c>
      <c r="E173" s="13" t="s">
        <v>84</v>
      </c>
      <c r="F173" s="13"/>
      <c r="G173" s="13"/>
      <c r="H173" s="13"/>
      <c r="I173" s="13"/>
      <c r="J173" s="13"/>
      <c r="K173" s="13"/>
      <c r="L173" s="13"/>
      <c r="M173" s="13"/>
      <c r="N173" s="13"/>
      <c r="O173" s="13" t="s">
        <v>85</v>
      </c>
    </row>
    <row r="174" customFormat="false" ht="15" hidden="false" customHeight="false" outlineLevel="0" collapsed="false">
      <c r="A174" s="13" t="s">
        <v>277</v>
      </c>
      <c r="B174" s="13" t="s">
        <v>170</v>
      </c>
      <c r="C174" s="13" t="s">
        <v>171</v>
      </c>
      <c r="D174" s="13" t="s">
        <v>172</v>
      </c>
      <c r="E174" s="13" t="s">
        <v>84</v>
      </c>
      <c r="F174" s="13"/>
      <c r="G174" s="13"/>
      <c r="H174" s="13"/>
      <c r="I174" s="13"/>
      <c r="J174" s="13"/>
      <c r="K174" s="13"/>
      <c r="L174" s="13"/>
      <c r="M174" s="13"/>
      <c r="N174" s="13"/>
      <c r="O174" s="13" t="s">
        <v>85</v>
      </c>
    </row>
    <row r="175" customFormat="false" ht="15" hidden="false" customHeight="false" outlineLevel="0" collapsed="false">
      <c r="A175" s="13" t="s">
        <v>277</v>
      </c>
      <c r="B175" s="13" t="s">
        <v>170</v>
      </c>
      <c r="C175" s="13" t="s">
        <v>173</v>
      </c>
      <c r="D175" s="13" t="s">
        <v>174</v>
      </c>
      <c r="E175" s="13" t="s">
        <v>84</v>
      </c>
      <c r="F175" s="13"/>
      <c r="G175" s="13"/>
      <c r="H175" s="13"/>
      <c r="I175" s="13"/>
      <c r="J175" s="13"/>
      <c r="K175" s="13"/>
      <c r="L175" s="13"/>
      <c r="M175" s="13"/>
      <c r="N175" s="13"/>
      <c r="O175" s="13" t="s">
        <v>85</v>
      </c>
    </row>
    <row r="176" customFormat="false" ht="15" hidden="false" customHeight="false" outlineLevel="0" collapsed="false">
      <c r="A176" s="13" t="s">
        <v>277</v>
      </c>
      <c r="B176" s="13" t="s">
        <v>170</v>
      </c>
      <c r="C176" s="13" t="s">
        <v>175</v>
      </c>
      <c r="D176" s="13" t="s">
        <v>176</v>
      </c>
      <c r="E176" s="13" t="s">
        <v>84</v>
      </c>
      <c r="F176" s="13"/>
      <c r="G176" s="13"/>
      <c r="H176" s="13"/>
      <c r="I176" s="13"/>
      <c r="J176" s="13"/>
      <c r="K176" s="13"/>
      <c r="L176" s="13"/>
      <c r="M176" s="13"/>
      <c r="N176" s="13"/>
      <c r="O176" s="13" t="s">
        <v>85</v>
      </c>
    </row>
    <row r="177" customFormat="false" ht="15" hidden="false" customHeight="false" outlineLevel="0" collapsed="false">
      <c r="A177" s="13" t="s">
        <v>277</v>
      </c>
      <c r="B177" s="13" t="s">
        <v>170</v>
      </c>
      <c r="C177" s="13" t="s">
        <v>177</v>
      </c>
      <c r="D177" s="13" t="s">
        <v>178</v>
      </c>
      <c r="E177" s="13" t="s">
        <v>84</v>
      </c>
      <c r="F177" s="13"/>
      <c r="G177" s="13"/>
      <c r="H177" s="13"/>
      <c r="I177" s="13"/>
      <c r="J177" s="13"/>
      <c r="K177" s="13"/>
      <c r="L177" s="13"/>
      <c r="M177" s="13"/>
      <c r="N177" s="13"/>
      <c r="O177" s="13" t="s">
        <v>85</v>
      </c>
    </row>
    <row r="178" customFormat="false" ht="15" hidden="false" customHeight="false" outlineLevel="0" collapsed="false">
      <c r="A178" s="13" t="s">
        <v>277</v>
      </c>
      <c r="B178" s="13" t="s">
        <v>170</v>
      </c>
      <c r="C178" s="13" t="s">
        <v>179</v>
      </c>
      <c r="D178" s="13" t="s">
        <v>180</v>
      </c>
      <c r="E178" s="13" t="s">
        <v>84</v>
      </c>
      <c r="F178" s="13"/>
      <c r="G178" s="13"/>
      <c r="H178" s="13"/>
      <c r="I178" s="13"/>
      <c r="J178" s="13"/>
      <c r="K178" s="13"/>
      <c r="L178" s="13"/>
      <c r="M178" s="13"/>
      <c r="N178" s="13"/>
      <c r="O178" s="13" t="s">
        <v>85</v>
      </c>
    </row>
    <row r="179" customFormat="false" ht="15" hidden="false" customHeight="false" outlineLevel="0" collapsed="false">
      <c r="A179" s="13" t="s">
        <v>278</v>
      </c>
      <c r="B179" s="13" t="s">
        <v>81</v>
      </c>
      <c r="C179" s="13" t="s">
        <v>82</v>
      </c>
      <c r="D179" s="13" t="s">
        <v>83</v>
      </c>
      <c r="E179" s="13" t="s">
        <v>84</v>
      </c>
      <c r="F179" s="13"/>
      <c r="G179" s="13"/>
      <c r="H179" s="13"/>
      <c r="I179" s="13"/>
      <c r="J179" s="13"/>
      <c r="K179" s="13"/>
      <c r="L179" s="13"/>
      <c r="M179" s="13"/>
      <c r="N179" s="13"/>
      <c r="O179" s="13" t="s">
        <v>85</v>
      </c>
    </row>
    <row r="180" customFormat="false" ht="15" hidden="false" customHeight="false" outlineLevel="0" collapsed="false">
      <c r="A180" s="13" t="s">
        <v>278</v>
      </c>
      <c r="B180" s="13" t="s">
        <v>81</v>
      </c>
      <c r="C180" s="13" t="s">
        <v>86</v>
      </c>
      <c r="D180" s="13" t="s">
        <v>87</v>
      </c>
      <c r="E180" s="13" t="s">
        <v>84</v>
      </c>
      <c r="F180" s="13"/>
      <c r="G180" s="13"/>
      <c r="H180" s="13"/>
      <c r="I180" s="13"/>
      <c r="J180" s="13"/>
      <c r="K180" s="13"/>
      <c r="L180" s="13"/>
      <c r="M180" s="13"/>
      <c r="N180" s="13"/>
      <c r="O180" s="13" t="s">
        <v>85</v>
      </c>
    </row>
    <row r="181" customFormat="false" ht="15" hidden="false" customHeight="false" outlineLevel="0" collapsed="false">
      <c r="A181" s="13" t="s">
        <v>278</v>
      </c>
      <c r="B181" s="13" t="s">
        <v>81</v>
      </c>
      <c r="C181" s="13" t="s">
        <v>88</v>
      </c>
      <c r="D181" s="13" t="s">
        <v>89</v>
      </c>
      <c r="E181" s="13" t="s">
        <v>84</v>
      </c>
      <c r="F181" s="13"/>
      <c r="G181" s="13"/>
      <c r="H181" s="13"/>
      <c r="I181" s="13"/>
      <c r="J181" s="13"/>
      <c r="K181" s="13"/>
      <c r="L181" s="13"/>
      <c r="M181" s="13"/>
      <c r="N181" s="13"/>
      <c r="O181" s="13" t="s">
        <v>85</v>
      </c>
    </row>
    <row r="182" customFormat="false" ht="15" hidden="false" customHeight="false" outlineLevel="0" collapsed="false">
      <c r="A182" s="13" t="s">
        <v>278</v>
      </c>
      <c r="B182" s="13" t="s">
        <v>81</v>
      </c>
      <c r="C182" s="13" t="s">
        <v>90</v>
      </c>
      <c r="D182" s="13" t="s">
        <v>91</v>
      </c>
      <c r="E182" s="13" t="s">
        <v>84</v>
      </c>
      <c r="F182" s="13"/>
      <c r="G182" s="13"/>
      <c r="H182" s="13"/>
      <c r="I182" s="13"/>
      <c r="J182" s="13"/>
      <c r="K182" s="13"/>
      <c r="L182" s="13"/>
      <c r="M182" s="13"/>
      <c r="N182" s="13"/>
      <c r="O182" s="13" t="s">
        <v>85</v>
      </c>
    </row>
    <row r="183" customFormat="false" ht="15" hidden="false" customHeight="false" outlineLevel="0" collapsed="false">
      <c r="A183" s="13" t="s">
        <v>278</v>
      </c>
      <c r="B183" s="13" t="s">
        <v>81</v>
      </c>
      <c r="C183" s="13" t="s">
        <v>92</v>
      </c>
      <c r="D183" s="13" t="s">
        <v>93</v>
      </c>
      <c r="E183" s="13" t="s">
        <v>84</v>
      </c>
      <c r="F183" s="13"/>
      <c r="G183" s="13"/>
      <c r="H183" s="13"/>
      <c r="I183" s="13"/>
      <c r="J183" s="13"/>
      <c r="K183" s="13"/>
      <c r="L183" s="13"/>
      <c r="M183" s="13"/>
      <c r="N183" s="13"/>
      <c r="O183" s="13" t="s">
        <v>85</v>
      </c>
    </row>
    <row r="184" customFormat="false" ht="15" hidden="false" customHeight="false" outlineLevel="0" collapsed="false">
      <c r="A184" s="13" t="s">
        <v>278</v>
      </c>
      <c r="B184" s="13" t="s">
        <v>81</v>
      </c>
      <c r="C184" s="13" t="s">
        <v>94</v>
      </c>
      <c r="D184" s="13" t="s">
        <v>95</v>
      </c>
      <c r="E184" s="13" t="s">
        <v>84</v>
      </c>
      <c r="F184" s="13"/>
      <c r="G184" s="13"/>
      <c r="H184" s="13"/>
      <c r="I184" s="13"/>
      <c r="J184" s="13"/>
      <c r="K184" s="13"/>
      <c r="L184" s="13"/>
      <c r="M184" s="13"/>
      <c r="N184" s="13"/>
      <c r="O184" s="13" t="s">
        <v>85</v>
      </c>
    </row>
    <row r="185" customFormat="false" ht="15" hidden="false" customHeight="false" outlineLevel="0" collapsed="false">
      <c r="A185" s="13" t="s">
        <v>278</v>
      </c>
      <c r="B185" s="13" t="s">
        <v>96</v>
      </c>
      <c r="C185" s="13" t="s">
        <v>97</v>
      </c>
      <c r="D185" s="13" t="s">
        <v>98</v>
      </c>
      <c r="E185" s="13" t="s">
        <v>84</v>
      </c>
      <c r="F185" s="13"/>
      <c r="G185" s="13"/>
      <c r="H185" s="13"/>
      <c r="I185" s="13"/>
      <c r="J185" s="13"/>
      <c r="K185" s="13"/>
      <c r="L185" s="13"/>
      <c r="M185" s="13"/>
      <c r="N185" s="13"/>
      <c r="O185" s="13" t="s">
        <v>85</v>
      </c>
    </row>
    <row r="186" customFormat="false" ht="15" hidden="false" customHeight="false" outlineLevel="0" collapsed="false">
      <c r="A186" s="13" t="s">
        <v>278</v>
      </c>
      <c r="B186" s="13" t="s">
        <v>96</v>
      </c>
      <c r="C186" s="13" t="s">
        <v>99</v>
      </c>
      <c r="D186" s="13" t="s">
        <v>100</v>
      </c>
      <c r="E186" s="13" t="s">
        <v>84</v>
      </c>
      <c r="F186" s="13"/>
      <c r="G186" s="13"/>
      <c r="H186" s="13"/>
      <c r="I186" s="13"/>
      <c r="J186" s="13"/>
      <c r="K186" s="13"/>
      <c r="L186" s="13"/>
      <c r="M186" s="13"/>
      <c r="N186" s="13"/>
      <c r="O186" s="13" t="s">
        <v>85</v>
      </c>
    </row>
    <row r="187" customFormat="false" ht="15" hidden="false" customHeight="false" outlineLevel="0" collapsed="false">
      <c r="A187" s="13" t="s">
        <v>278</v>
      </c>
      <c r="B187" s="13" t="s">
        <v>96</v>
      </c>
      <c r="C187" s="13" t="s">
        <v>101</v>
      </c>
      <c r="D187" s="13" t="s">
        <v>102</v>
      </c>
      <c r="E187" s="13" t="s">
        <v>84</v>
      </c>
      <c r="F187" s="13"/>
      <c r="G187" s="13"/>
      <c r="H187" s="13"/>
      <c r="I187" s="13"/>
      <c r="J187" s="13"/>
      <c r="K187" s="13"/>
      <c r="L187" s="13"/>
      <c r="M187" s="13"/>
      <c r="N187" s="13"/>
      <c r="O187" s="13" t="s">
        <v>85</v>
      </c>
    </row>
    <row r="188" customFormat="false" ht="15" hidden="false" customHeight="false" outlineLevel="0" collapsed="false">
      <c r="A188" s="13" t="s">
        <v>278</v>
      </c>
      <c r="B188" s="13" t="s">
        <v>96</v>
      </c>
      <c r="C188" s="13" t="s">
        <v>103</v>
      </c>
      <c r="D188" s="13" t="s">
        <v>104</v>
      </c>
      <c r="E188" s="13" t="s">
        <v>84</v>
      </c>
      <c r="F188" s="13"/>
      <c r="G188" s="13"/>
      <c r="H188" s="13"/>
      <c r="I188" s="13"/>
      <c r="J188" s="13"/>
      <c r="K188" s="13"/>
      <c r="L188" s="13"/>
      <c r="M188" s="13"/>
      <c r="N188" s="13"/>
      <c r="O188" s="13" t="s">
        <v>85</v>
      </c>
    </row>
    <row r="189" customFormat="false" ht="15" hidden="false" customHeight="false" outlineLevel="0" collapsed="false">
      <c r="A189" s="13" t="s">
        <v>278</v>
      </c>
      <c r="B189" s="13" t="s">
        <v>96</v>
      </c>
      <c r="C189" s="13" t="s">
        <v>105</v>
      </c>
      <c r="D189" s="13" t="s">
        <v>106</v>
      </c>
      <c r="E189" s="13" t="s">
        <v>84</v>
      </c>
      <c r="F189" s="13"/>
      <c r="G189" s="13"/>
      <c r="H189" s="13"/>
      <c r="I189" s="13"/>
      <c r="J189" s="13"/>
      <c r="K189" s="13"/>
      <c r="L189" s="13"/>
      <c r="M189" s="13"/>
      <c r="N189" s="13"/>
      <c r="O189" s="13" t="s">
        <v>85</v>
      </c>
    </row>
    <row r="190" customFormat="false" ht="15" hidden="false" customHeight="false" outlineLevel="0" collapsed="false">
      <c r="A190" s="13" t="s">
        <v>278</v>
      </c>
      <c r="B190" s="13" t="s">
        <v>107</v>
      </c>
      <c r="C190" s="13" t="s">
        <v>108</v>
      </c>
      <c r="D190" s="13" t="s">
        <v>109</v>
      </c>
      <c r="E190" s="13" t="s">
        <v>84</v>
      </c>
      <c r="F190" s="13"/>
      <c r="G190" s="13"/>
      <c r="H190" s="13"/>
      <c r="I190" s="13"/>
      <c r="J190" s="13"/>
      <c r="K190" s="13"/>
      <c r="L190" s="13"/>
      <c r="M190" s="13"/>
      <c r="N190" s="13"/>
      <c r="O190" s="13" t="s">
        <v>85</v>
      </c>
    </row>
    <row r="191" customFormat="false" ht="15" hidden="false" customHeight="false" outlineLevel="0" collapsed="false">
      <c r="A191" s="13" t="s">
        <v>278</v>
      </c>
      <c r="B191" s="13" t="s">
        <v>107</v>
      </c>
      <c r="C191" s="13" t="s">
        <v>110</v>
      </c>
      <c r="D191" s="13" t="s">
        <v>111</v>
      </c>
      <c r="E191" s="13" t="s">
        <v>84</v>
      </c>
      <c r="F191" s="13"/>
      <c r="G191" s="13"/>
      <c r="H191" s="13"/>
      <c r="I191" s="13"/>
      <c r="J191" s="13"/>
      <c r="K191" s="13"/>
      <c r="L191" s="13"/>
      <c r="M191" s="13"/>
      <c r="N191" s="13"/>
      <c r="O191" s="13" t="s">
        <v>85</v>
      </c>
    </row>
    <row r="192" customFormat="false" ht="15" hidden="false" customHeight="false" outlineLevel="0" collapsed="false">
      <c r="A192" s="13" t="s">
        <v>278</v>
      </c>
      <c r="B192" s="13" t="s">
        <v>107</v>
      </c>
      <c r="C192" s="13" t="s">
        <v>112</v>
      </c>
      <c r="D192" s="13" t="s">
        <v>113</v>
      </c>
      <c r="E192" s="13" t="s">
        <v>84</v>
      </c>
      <c r="F192" s="13"/>
      <c r="G192" s="13"/>
      <c r="H192" s="13"/>
      <c r="I192" s="13"/>
      <c r="J192" s="13"/>
      <c r="K192" s="13"/>
      <c r="L192" s="13"/>
      <c r="M192" s="13"/>
      <c r="N192" s="13"/>
      <c r="O192" s="13" t="s">
        <v>85</v>
      </c>
    </row>
    <row r="193" customFormat="false" ht="15" hidden="false" customHeight="false" outlineLevel="0" collapsed="false">
      <c r="A193" s="13" t="s">
        <v>278</v>
      </c>
      <c r="B193" s="13" t="s">
        <v>107</v>
      </c>
      <c r="C193" s="13" t="s">
        <v>114</v>
      </c>
      <c r="D193" s="13" t="s">
        <v>115</v>
      </c>
      <c r="E193" s="13" t="s">
        <v>84</v>
      </c>
      <c r="F193" s="13"/>
      <c r="G193" s="13"/>
      <c r="H193" s="13"/>
      <c r="I193" s="13"/>
      <c r="J193" s="13"/>
      <c r="K193" s="13"/>
      <c r="L193" s="13"/>
      <c r="M193" s="13"/>
      <c r="N193" s="13"/>
      <c r="O193" s="13" t="s">
        <v>85</v>
      </c>
    </row>
    <row r="194" customFormat="false" ht="15" hidden="false" customHeight="false" outlineLevel="0" collapsed="false">
      <c r="A194" s="13" t="s">
        <v>278</v>
      </c>
      <c r="B194" s="13" t="s">
        <v>116</v>
      </c>
      <c r="C194" s="13" t="s">
        <v>117</v>
      </c>
      <c r="D194" s="13" t="s">
        <v>118</v>
      </c>
      <c r="E194" s="13" t="s">
        <v>84</v>
      </c>
      <c r="F194" s="13"/>
      <c r="G194" s="13"/>
      <c r="H194" s="13"/>
      <c r="I194" s="13"/>
      <c r="J194" s="13"/>
      <c r="K194" s="13"/>
      <c r="L194" s="13"/>
      <c r="M194" s="13"/>
      <c r="N194" s="13"/>
      <c r="O194" s="13" t="s">
        <v>85</v>
      </c>
    </row>
    <row r="195" customFormat="false" ht="15" hidden="false" customHeight="false" outlineLevel="0" collapsed="false">
      <c r="A195" s="13" t="s">
        <v>278</v>
      </c>
      <c r="B195" s="13" t="s">
        <v>116</v>
      </c>
      <c r="C195" s="13" t="s">
        <v>119</v>
      </c>
      <c r="D195" s="13" t="s">
        <v>120</v>
      </c>
      <c r="E195" s="13" t="s">
        <v>84</v>
      </c>
      <c r="F195" s="13"/>
      <c r="G195" s="13"/>
      <c r="H195" s="13"/>
      <c r="I195" s="13"/>
      <c r="J195" s="13"/>
      <c r="K195" s="13"/>
      <c r="L195" s="13"/>
      <c r="M195" s="13"/>
      <c r="N195" s="13"/>
      <c r="O195" s="13" t="s">
        <v>85</v>
      </c>
    </row>
    <row r="196" customFormat="false" ht="15" hidden="false" customHeight="false" outlineLevel="0" collapsed="false">
      <c r="A196" s="13" t="s">
        <v>278</v>
      </c>
      <c r="B196" s="13" t="s">
        <v>116</v>
      </c>
      <c r="C196" s="13" t="s">
        <v>121</v>
      </c>
      <c r="D196" s="13" t="s">
        <v>122</v>
      </c>
      <c r="E196" s="13" t="s">
        <v>84</v>
      </c>
      <c r="F196" s="13"/>
      <c r="G196" s="13"/>
      <c r="H196" s="13"/>
      <c r="I196" s="13"/>
      <c r="J196" s="13"/>
      <c r="K196" s="13"/>
      <c r="L196" s="13"/>
      <c r="M196" s="13"/>
      <c r="N196" s="13"/>
      <c r="O196" s="13" t="s">
        <v>85</v>
      </c>
    </row>
    <row r="197" customFormat="false" ht="15" hidden="false" customHeight="false" outlineLevel="0" collapsed="false">
      <c r="A197" s="13" t="s">
        <v>278</v>
      </c>
      <c r="B197" s="13" t="s">
        <v>116</v>
      </c>
      <c r="C197" s="13" t="s">
        <v>123</v>
      </c>
      <c r="D197" s="13" t="s">
        <v>124</v>
      </c>
      <c r="E197" s="13" t="s">
        <v>84</v>
      </c>
      <c r="F197" s="13"/>
      <c r="G197" s="13"/>
      <c r="H197" s="13"/>
      <c r="I197" s="13"/>
      <c r="J197" s="13"/>
      <c r="K197" s="13"/>
      <c r="L197" s="13"/>
      <c r="M197" s="13"/>
      <c r="N197" s="13"/>
      <c r="O197" s="13" t="s">
        <v>85</v>
      </c>
    </row>
    <row r="198" customFormat="false" ht="15" hidden="false" customHeight="false" outlineLevel="0" collapsed="false">
      <c r="A198" s="13" t="s">
        <v>278</v>
      </c>
      <c r="B198" s="13" t="s">
        <v>125</v>
      </c>
      <c r="C198" s="13" t="s">
        <v>126</v>
      </c>
      <c r="D198" s="13" t="s">
        <v>127</v>
      </c>
      <c r="E198" s="13" t="s">
        <v>84</v>
      </c>
      <c r="F198" s="13"/>
      <c r="G198" s="13"/>
      <c r="H198" s="13"/>
      <c r="I198" s="13"/>
      <c r="J198" s="13"/>
      <c r="K198" s="13"/>
      <c r="L198" s="13"/>
      <c r="M198" s="13"/>
      <c r="N198" s="13"/>
      <c r="O198" s="13" t="s">
        <v>85</v>
      </c>
    </row>
    <row r="199" customFormat="false" ht="15" hidden="false" customHeight="false" outlineLevel="0" collapsed="false">
      <c r="A199" s="13" t="s">
        <v>278</v>
      </c>
      <c r="B199" s="13" t="s">
        <v>125</v>
      </c>
      <c r="C199" s="13" t="s">
        <v>128</v>
      </c>
      <c r="D199" s="13" t="s">
        <v>129</v>
      </c>
      <c r="E199" s="13" t="s">
        <v>84</v>
      </c>
      <c r="F199" s="13"/>
      <c r="G199" s="13"/>
      <c r="H199" s="13"/>
      <c r="I199" s="13"/>
      <c r="J199" s="13"/>
      <c r="K199" s="13"/>
      <c r="L199" s="13"/>
      <c r="M199" s="13"/>
      <c r="N199" s="13"/>
      <c r="O199" s="13" t="s">
        <v>85</v>
      </c>
    </row>
    <row r="200" customFormat="false" ht="15" hidden="false" customHeight="false" outlineLevel="0" collapsed="false">
      <c r="A200" s="13" t="s">
        <v>278</v>
      </c>
      <c r="B200" s="13" t="s">
        <v>125</v>
      </c>
      <c r="C200" s="13" t="s">
        <v>130</v>
      </c>
      <c r="D200" s="13" t="s">
        <v>131</v>
      </c>
      <c r="E200" s="13" t="s">
        <v>84</v>
      </c>
      <c r="F200" s="13"/>
      <c r="G200" s="13"/>
      <c r="H200" s="13"/>
      <c r="I200" s="13"/>
      <c r="J200" s="13"/>
      <c r="K200" s="13"/>
      <c r="L200" s="13"/>
      <c r="M200" s="13"/>
      <c r="N200" s="13"/>
      <c r="O200" s="13" t="s">
        <v>85</v>
      </c>
    </row>
    <row r="201" customFormat="false" ht="15" hidden="false" customHeight="false" outlineLevel="0" collapsed="false">
      <c r="A201" s="13" t="s">
        <v>278</v>
      </c>
      <c r="B201" s="13" t="s">
        <v>125</v>
      </c>
      <c r="C201" s="13" t="s">
        <v>132</v>
      </c>
      <c r="D201" s="13" t="s">
        <v>133</v>
      </c>
      <c r="E201" s="13" t="s">
        <v>84</v>
      </c>
      <c r="F201" s="13"/>
      <c r="G201" s="13"/>
      <c r="H201" s="13"/>
      <c r="I201" s="13"/>
      <c r="J201" s="13"/>
      <c r="K201" s="13"/>
      <c r="L201" s="13"/>
      <c r="M201" s="13"/>
      <c r="N201" s="13"/>
      <c r="O201" s="13" t="s">
        <v>85</v>
      </c>
    </row>
    <row r="202" customFormat="false" ht="15" hidden="false" customHeight="false" outlineLevel="0" collapsed="false">
      <c r="A202" s="13" t="s">
        <v>278</v>
      </c>
      <c r="B202" s="13" t="s">
        <v>134</v>
      </c>
      <c r="C202" s="13" t="s">
        <v>135</v>
      </c>
      <c r="D202" s="13" t="s">
        <v>136</v>
      </c>
      <c r="E202" s="13" t="s">
        <v>84</v>
      </c>
      <c r="F202" s="13"/>
      <c r="G202" s="13"/>
      <c r="H202" s="13"/>
      <c r="I202" s="13"/>
      <c r="J202" s="13"/>
      <c r="K202" s="13"/>
      <c r="L202" s="13"/>
      <c r="M202" s="13"/>
      <c r="N202" s="13"/>
      <c r="O202" s="13" t="s">
        <v>85</v>
      </c>
    </row>
    <row r="203" customFormat="false" ht="15" hidden="false" customHeight="false" outlineLevel="0" collapsed="false">
      <c r="A203" s="13" t="s">
        <v>278</v>
      </c>
      <c r="B203" s="13" t="s">
        <v>134</v>
      </c>
      <c r="C203" s="13" t="s">
        <v>137</v>
      </c>
      <c r="D203" s="13" t="s">
        <v>138</v>
      </c>
      <c r="E203" s="13" t="s">
        <v>84</v>
      </c>
      <c r="F203" s="13"/>
      <c r="G203" s="13"/>
      <c r="H203" s="13"/>
      <c r="I203" s="13"/>
      <c r="J203" s="13"/>
      <c r="K203" s="13"/>
      <c r="L203" s="13"/>
      <c r="M203" s="13"/>
      <c r="N203" s="13"/>
      <c r="O203" s="13" t="s">
        <v>85</v>
      </c>
    </row>
    <row r="204" customFormat="false" ht="15" hidden="false" customHeight="false" outlineLevel="0" collapsed="false">
      <c r="A204" s="13" t="s">
        <v>278</v>
      </c>
      <c r="B204" s="13" t="s">
        <v>134</v>
      </c>
      <c r="C204" s="13" t="s">
        <v>139</v>
      </c>
      <c r="D204" s="13" t="s">
        <v>140</v>
      </c>
      <c r="E204" s="13" t="s">
        <v>84</v>
      </c>
      <c r="F204" s="13"/>
      <c r="G204" s="13"/>
      <c r="H204" s="13"/>
      <c r="I204" s="13"/>
      <c r="J204" s="13"/>
      <c r="K204" s="13"/>
      <c r="L204" s="13"/>
      <c r="M204" s="13"/>
      <c r="N204" s="13"/>
      <c r="O204" s="13" t="s">
        <v>85</v>
      </c>
    </row>
    <row r="205" customFormat="false" ht="15" hidden="false" customHeight="false" outlineLevel="0" collapsed="false">
      <c r="A205" s="13" t="s">
        <v>278</v>
      </c>
      <c r="B205" s="13" t="s">
        <v>141</v>
      </c>
      <c r="C205" s="13" t="s">
        <v>142</v>
      </c>
      <c r="D205" s="13" t="s">
        <v>143</v>
      </c>
      <c r="E205" s="13" t="s">
        <v>84</v>
      </c>
      <c r="F205" s="13"/>
      <c r="G205" s="13"/>
      <c r="H205" s="13"/>
      <c r="I205" s="13"/>
      <c r="J205" s="13"/>
      <c r="K205" s="13"/>
      <c r="L205" s="13"/>
      <c r="M205" s="13"/>
      <c r="N205" s="13"/>
      <c r="O205" s="13" t="s">
        <v>85</v>
      </c>
    </row>
    <row r="206" customFormat="false" ht="15" hidden="false" customHeight="false" outlineLevel="0" collapsed="false">
      <c r="A206" s="13" t="s">
        <v>278</v>
      </c>
      <c r="B206" s="13" t="s">
        <v>141</v>
      </c>
      <c r="C206" s="13" t="s">
        <v>144</v>
      </c>
      <c r="D206" s="13" t="s">
        <v>145</v>
      </c>
      <c r="E206" s="13" t="s">
        <v>84</v>
      </c>
      <c r="F206" s="13"/>
      <c r="G206" s="13"/>
      <c r="H206" s="13"/>
      <c r="I206" s="13"/>
      <c r="J206" s="13"/>
      <c r="K206" s="13"/>
      <c r="L206" s="13"/>
      <c r="M206" s="13"/>
      <c r="N206" s="13"/>
      <c r="O206" s="13" t="s">
        <v>85</v>
      </c>
    </row>
    <row r="207" customFormat="false" ht="15" hidden="false" customHeight="false" outlineLevel="0" collapsed="false">
      <c r="A207" s="13" t="s">
        <v>278</v>
      </c>
      <c r="B207" s="13" t="s">
        <v>141</v>
      </c>
      <c r="C207" s="13" t="s">
        <v>146</v>
      </c>
      <c r="D207" s="13" t="s">
        <v>147</v>
      </c>
      <c r="E207" s="13" t="s">
        <v>84</v>
      </c>
      <c r="F207" s="13"/>
      <c r="G207" s="13"/>
      <c r="H207" s="13"/>
      <c r="I207" s="13"/>
      <c r="J207" s="13"/>
      <c r="K207" s="13"/>
      <c r="L207" s="13"/>
      <c r="M207" s="13"/>
      <c r="N207" s="13"/>
      <c r="O207" s="13" t="s">
        <v>85</v>
      </c>
    </row>
    <row r="208" customFormat="false" ht="15" hidden="false" customHeight="false" outlineLevel="0" collapsed="false">
      <c r="A208" s="13" t="s">
        <v>278</v>
      </c>
      <c r="B208" s="13" t="s">
        <v>141</v>
      </c>
      <c r="C208" s="13" t="s">
        <v>148</v>
      </c>
      <c r="D208" s="13" t="s">
        <v>149</v>
      </c>
      <c r="E208" s="13" t="s">
        <v>84</v>
      </c>
      <c r="F208" s="13"/>
      <c r="G208" s="13"/>
      <c r="H208" s="13"/>
      <c r="I208" s="13"/>
      <c r="J208" s="13"/>
      <c r="K208" s="13"/>
      <c r="L208" s="13"/>
      <c r="M208" s="13"/>
      <c r="N208" s="13"/>
      <c r="O208" s="13" t="s">
        <v>85</v>
      </c>
    </row>
    <row r="209" customFormat="false" ht="15" hidden="false" customHeight="false" outlineLevel="0" collapsed="false">
      <c r="A209" s="13" t="s">
        <v>278</v>
      </c>
      <c r="B209" s="13" t="s">
        <v>141</v>
      </c>
      <c r="C209" s="13" t="s">
        <v>150</v>
      </c>
      <c r="D209" s="13" t="s">
        <v>151</v>
      </c>
      <c r="E209" s="13" t="s">
        <v>84</v>
      </c>
      <c r="F209" s="13"/>
      <c r="G209" s="13"/>
      <c r="H209" s="13"/>
      <c r="I209" s="13"/>
      <c r="J209" s="13"/>
      <c r="K209" s="13"/>
      <c r="L209" s="13"/>
      <c r="M209" s="13"/>
      <c r="N209" s="13"/>
      <c r="O209" s="13" t="s">
        <v>85</v>
      </c>
    </row>
    <row r="210" customFormat="false" ht="15" hidden="false" customHeight="false" outlineLevel="0" collapsed="false">
      <c r="A210" s="13" t="s">
        <v>278</v>
      </c>
      <c r="B210" s="13" t="s">
        <v>152</v>
      </c>
      <c r="C210" s="13" t="s">
        <v>153</v>
      </c>
      <c r="D210" s="13" t="s">
        <v>154</v>
      </c>
      <c r="E210" s="13" t="s">
        <v>84</v>
      </c>
      <c r="F210" s="13"/>
      <c r="G210" s="13"/>
      <c r="H210" s="13"/>
      <c r="I210" s="13"/>
      <c r="J210" s="13"/>
      <c r="K210" s="13"/>
      <c r="L210" s="13"/>
      <c r="M210" s="13"/>
      <c r="N210" s="13"/>
      <c r="O210" s="13" t="s">
        <v>85</v>
      </c>
    </row>
    <row r="211" customFormat="false" ht="15" hidden="false" customHeight="false" outlineLevel="0" collapsed="false">
      <c r="A211" s="13" t="s">
        <v>278</v>
      </c>
      <c r="B211" s="13" t="s">
        <v>152</v>
      </c>
      <c r="C211" s="13" t="s">
        <v>155</v>
      </c>
      <c r="D211" s="13" t="s">
        <v>156</v>
      </c>
      <c r="E211" s="13" t="s">
        <v>84</v>
      </c>
      <c r="F211" s="13"/>
      <c r="G211" s="13"/>
      <c r="H211" s="13"/>
      <c r="I211" s="13"/>
      <c r="J211" s="13"/>
      <c r="K211" s="13"/>
      <c r="L211" s="13"/>
      <c r="M211" s="13"/>
      <c r="N211" s="13"/>
      <c r="O211" s="13" t="s">
        <v>85</v>
      </c>
    </row>
    <row r="212" customFormat="false" ht="15" hidden="false" customHeight="false" outlineLevel="0" collapsed="false">
      <c r="A212" s="13" t="s">
        <v>278</v>
      </c>
      <c r="B212" s="13" t="s">
        <v>152</v>
      </c>
      <c r="C212" s="13" t="s">
        <v>157</v>
      </c>
      <c r="D212" s="13" t="s">
        <v>158</v>
      </c>
      <c r="E212" s="13" t="s">
        <v>84</v>
      </c>
      <c r="F212" s="13"/>
      <c r="G212" s="13"/>
      <c r="H212" s="13"/>
      <c r="I212" s="13"/>
      <c r="J212" s="13"/>
      <c r="K212" s="13"/>
      <c r="L212" s="13"/>
      <c r="M212" s="13"/>
      <c r="N212" s="13"/>
      <c r="O212" s="13" t="s">
        <v>85</v>
      </c>
    </row>
    <row r="213" customFormat="false" ht="15" hidden="false" customHeight="false" outlineLevel="0" collapsed="false">
      <c r="A213" s="13" t="s">
        <v>278</v>
      </c>
      <c r="B213" s="13" t="s">
        <v>152</v>
      </c>
      <c r="C213" s="13" t="s">
        <v>159</v>
      </c>
      <c r="D213" s="13" t="s">
        <v>160</v>
      </c>
      <c r="E213" s="13" t="s">
        <v>84</v>
      </c>
      <c r="F213" s="13"/>
      <c r="G213" s="13"/>
      <c r="H213" s="13"/>
      <c r="I213" s="13"/>
      <c r="J213" s="13"/>
      <c r="K213" s="13"/>
      <c r="L213" s="13"/>
      <c r="M213" s="13"/>
      <c r="N213" s="13"/>
      <c r="O213" s="13" t="s">
        <v>85</v>
      </c>
    </row>
    <row r="214" customFormat="false" ht="15" hidden="false" customHeight="false" outlineLevel="0" collapsed="false">
      <c r="A214" s="13" t="s">
        <v>278</v>
      </c>
      <c r="B214" s="13" t="s">
        <v>161</v>
      </c>
      <c r="C214" s="13" t="s">
        <v>162</v>
      </c>
      <c r="D214" s="13" t="s">
        <v>163</v>
      </c>
      <c r="E214" s="13" t="s">
        <v>84</v>
      </c>
      <c r="F214" s="13"/>
      <c r="G214" s="13"/>
      <c r="H214" s="13"/>
      <c r="I214" s="13"/>
      <c r="J214" s="13"/>
      <c r="K214" s="13"/>
      <c r="L214" s="13"/>
      <c r="M214" s="13"/>
      <c r="N214" s="13"/>
      <c r="O214" s="13" t="s">
        <v>85</v>
      </c>
    </row>
    <row r="215" customFormat="false" ht="15" hidden="false" customHeight="false" outlineLevel="0" collapsed="false">
      <c r="A215" s="13" t="s">
        <v>278</v>
      </c>
      <c r="B215" s="13" t="s">
        <v>161</v>
      </c>
      <c r="C215" s="13" t="s">
        <v>164</v>
      </c>
      <c r="D215" s="13" t="s">
        <v>165</v>
      </c>
      <c r="E215" s="13" t="s">
        <v>84</v>
      </c>
      <c r="F215" s="13"/>
      <c r="G215" s="13"/>
      <c r="H215" s="13"/>
      <c r="I215" s="13"/>
      <c r="J215" s="13"/>
      <c r="K215" s="13"/>
      <c r="L215" s="13"/>
      <c r="M215" s="13"/>
      <c r="N215" s="13"/>
      <c r="O215" s="13" t="s">
        <v>85</v>
      </c>
    </row>
    <row r="216" customFormat="false" ht="15" hidden="false" customHeight="false" outlineLevel="0" collapsed="false">
      <c r="A216" s="13" t="s">
        <v>278</v>
      </c>
      <c r="B216" s="13" t="s">
        <v>161</v>
      </c>
      <c r="C216" s="13" t="s">
        <v>166</v>
      </c>
      <c r="D216" s="13" t="s">
        <v>167</v>
      </c>
      <c r="E216" s="13" t="s">
        <v>84</v>
      </c>
      <c r="F216" s="13"/>
      <c r="G216" s="13"/>
      <c r="H216" s="13"/>
      <c r="I216" s="13"/>
      <c r="J216" s="13"/>
      <c r="K216" s="13"/>
      <c r="L216" s="13"/>
      <c r="M216" s="13"/>
      <c r="N216" s="13"/>
      <c r="O216" s="13" t="s">
        <v>85</v>
      </c>
    </row>
    <row r="217" customFormat="false" ht="15" hidden="false" customHeight="false" outlineLevel="0" collapsed="false">
      <c r="A217" s="13" t="s">
        <v>278</v>
      </c>
      <c r="B217" s="13" t="s">
        <v>161</v>
      </c>
      <c r="C217" s="13" t="s">
        <v>168</v>
      </c>
      <c r="D217" s="13" t="s">
        <v>169</v>
      </c>
      <c r="E217" s="13" t="s">
        <v>84</v>
      </c>
      <c r="F217" s="13"/>
      <c r="G217" s="13"/>
      <c r="H217" s="13"/>
      <c r="I217" s="13"/>
      <c r="J217" s="13"/>
      <c r="K217" s="13"/>
      <c r="L217" s="13"/>
      <c r="M217" s="13"/>
      <c r="N217" s="13"/>
      <c r="O217" s="13" t="s">
        <v>85</v>
      </c>
    </row>
    <row r="218" customFormat="false" ht="15" hidden="false" customHeight="false" outlineLevel="0" collapsed="false">
      <c r="A218" s="13" t="s">
        <v>278</v>
      </c>
      <c r="B218" s="13" t="s">
        <v>170</v>
      </c>
      <c r="C218" s="13" t="s">
        <v>171</v>
      </c>
      <c r="D218" s="13" t="s">
        <v>172</v>
      </c>
      <c r="E218" s="13" t="s">
        <v>84</v>
      </c>
      <c r="F218" s="13"/>
      <c r="G218" s="13"/>
      <c r="H218" s="13"/>
      <c r="I218" s="13"/>
      <c r="J218" s="13"/>
      <c r="K218" s="13"/>
      <c r="L218" s="13"/>
      <c r="M218" s="13"/>
      <c r="N218" s="13"/>
      <c r="O218" s="13" t="s">
        <v>85</v>
      </c>
    </row>
    <row r="219" customFormat="false" ht="15" hidden="false" customHeight="false" outlineLevel="0" collapsed="false">
      <c r="A219" s="13" t="s">
        <v>278</v>
      </c>
      <c r="B219" s="13" t="s">
        <v>170</v>
      </c>
      <c r="C219" s="13" t="s">
        <v>173</v>
      </c>
      <c r="D219" s="13" t="s">
        <v>174</v>
      </c>
      <c r="E219" s="13" t="s">
        <v>84</v>
      </c>
      <c r="F219" s="13"/>
      <c r="G219" s="13"/>
      <c r="H219" s="13"/>
      <c r="I219" s="13"/>
      <c r="J219" s="13"/>
      <c r="K219" s="13"/>
      <c r="L219" s="13"/>
      <c r="M219" s="13"/>
      <c r="N219" s="13"/>
      <c r="O219" s="13" t="s">
        <v>85</v>
      </c>
    </row>
    <row r="220" customFormat="false" ht="15" hidden="false" customHeight="false" outlineLevel="0" collapsed="false">
      <c r="A220" s="13" t="s">
        <v>278</v>
      </c>
      <c r="B220" s="13" t="s">
        <v>170</v>
      </c>
      <c r="C220" s="13" t="s">
        <v>175</v>
      </c>
      <c r="D220" s="13" t="s">
        <v>176</v>
      </c>
      <c r="E220" s="13" t="s">
        <v>84</v>
      </c>
      <c r="F220" s="13"/>
      <c r="G220" s="13"/>
      <c r="H220" s="13"/>
      <c r="I220" s="13"/>
      <c r="J220" s="13"/>
      <c r="K220" s="13"/>
      <c r="L220" s="13"/>
      <c r="M220" s="13"/>
      <c r="N220" s="13"/>
      <c r="O220" s="13" t="s">
        <v>85</v>
      </c>
    </row>
    <row r="221" customFormat="false" ht="15" hidden="false" customHeight="false" outlineLevel="0" collapsed="false">
      <c r="A221" s="13" t="s">
        <v>278</v>
      </c>
      <c r="B221" s="13" t="s">
        <v>170</v>
      </c>
      <c r="C221" s="13" t="s">
        <v>177</v>
      </c>
      <c r="D221" s="13" t="s">
        <v>178</v>
      </c>
      <c r="E221" s="13" t="s">
        <v>84</v>
      </c>
      <c r="F221" s="13"/>
      <c r="G221" s="13"/>
      <c r="H221" s="13"/>
      <c r="I221" s="13"/>
      <c r="J221" s="13"/>
      <c r="K221" s="13"/>
      <c r="L221" s="13"/>
      <c r="M221" s="13"/>
      <c r="N221" s="13"/>
      <c r="O221" s="13" t="s">
        <v>85</v>
      </c>
    </row>
    <row r="222" customFormat="false" ht="15" hidden="false" customHeight="false" outlineLevel="0" collapsed="false">
      <c r="A222" s="13" t="s">
        <v>278</v>
      </c>
      <c r="B222" s="13" t="s">
        <v>170</v>
      </c>
      <c r="C222" s="13" t="s">
        <v>179</v>
      </c>
      <c r="D222" s="13" t="s">
        <v>180</v>
      </c>
      <c r="E222" s="13" t="s">
        <v>84</v>
      </c>
      <c r="F222" s="13"/>
      <c r="G222" s="13"/>
      <c r="H222" s="13"/>
      <c r="I222" s="13"/>
      <c r="J222" s="13"/>
      <c r="K222" s="13"/>
      <c r="L222" s="13"/>
      <c r="M222" s="13"/>
      <c r="N222" s="13"/>
      <c r="O222" s="13" t="s">
        <v>85</v>
      </c>
    </row>
    <row r="223" customFormat="false" ht="15" hidden="false" customHeight="false" outlineLevel="0" collapsed="false">
      <c r="A223" s="13" t="s">
        <v>279</v>
      </c>
      <c r="B223" s="13" t="s">
        <v>81</v>
      </c>
      <c r="C223" s="13" t="s">
        <v>82</v>
      </c>
      <c r="D223" s="13" t="s">
        <v>83</v>
      </c>
      <c r="E223" s="13" t="s">
        <v>84</v>
      </c>
      <c r="F223" s="13"/>
      <c r="G223" s="13"/>
      <c r="H223" s="13"/>
      <c r="I223" s="13"/>
      <c r="J223" s="13"/>
      <c r="K223" s="13"/>
      <c r="L223" s="13"/>
      <c r="M223" s="13"/>
      <c r="N223" s="13"/>
      <c r="O223" s="13" t="s">
        <v>85</v>
      </c>
    </row>
    <row r="224" customFormat="false" ht="15" hidden="false" customHeight="false" outlineLevel="0" collapsed="false">
      <c r="A224" s="13" t="s">
        <v>279</v>
      </c>
      <c r="B224" s="13" t="s">
        <v>81</v>
      </c>
      <c r="C224" s="13" t="s">
        <v>86</v>
      </c>
      <c r="D224" s="13" t="s">
        <v>87</v>
      </c>
      <c r="E224" s="13" t="s">
        <v>84</v>
      </c>
      <c r="F224" s="13"/>
      <c r="G224" s="13"/>
      <c r="H224" s="13"/>
      <c r="I224" s="13"/>
      <c r="J224" s="13"/>
      <c r="K224" s="13"/>
      <c r="L224" s="13"/>
      <c r="M224" s="13"/>
      <c r="N224" s="13"/>
      <c r="O224" s="13" t="s">
        <v>85</v>
      </c>
    </row>
    <row r="225" customFormat="false" ht="15" hidden="false" customHeight="false" outlineLevel="0" collapsed="false">
      <c r="A225" s="13" t="s">
        <v>279</v>
      </c>
      <c r="B225" s="13" t="s">
        <v>81</v>
      </c>
      <c r="C225" s="13" t="s">
        <v>88</v>
      </c>
      <c r="D225" s="13" t="s">
        <v>89</v>
      </c>
      <c r="E225" s="13" t="s">
        <v>84</v>
      </c>
      <c r="F225" s="13"/>
      <c r="G225" s="13"/>
      <c r="H225" s="13"/>
      <c r="I225" s="13"/>
      <c r="J225" s="13"/>
      <c r="K225" s="13"/>
      <c r="L225" s="13"/>
      <c r="M225" s="13"/>
      <c r="N225" s="13"/>
      <c r="O225" s="13" t="s">
        <v>85</v>
      </c>
    </row>
    <row r="226" customFormat="false" ht="15" hidden="false" customHeight="false" outlineLevel="0" collapsed="false">
      <c r="A226" s="13" t="s">
        <v>279</v>
      </c>
      <c r="B226" s="13" t="s">
        <v>81</v>
      </c>
      <c r="C226" s="13" t="s">
        <v>90</v>
      </c>
      <c r="D226" s="13" t="s">
        <v>91</v>
      </c>
      <c r="E226" s="13" t="s">
        <v>84</v>
      </c>
      <c r="F226" s="13"/>
      <c r="G226" s="13"/>
      <c r="H226" s="13"/>
      <c r="I226" s="13"/>
      <c r="J226" s="13"/>
      <c r="K226" s="13"/>
      <c r="L226" s="13"/>
      <c r="M226" s="13"/>
      <c r="N226" s="13"/>
      <c r="O226" s="13" t="s">
        <v>85</v>
      </c>
    </row>
    <row r="227" customFormat="false" ht="15" hidden="false" customHeight="false" outlineLevel="0" collapsed="false">
      <c r="A227" s="13" t="s">
        <v>279</v>
      </c>
      <c r="B227" s="13" t="s">
        <v>81</v>
      </c>
      <c r="C227" s="13" t="s">
        <v>92</v>
      </c>
      <c r="D227" s="13" t="s">
        <v>93</v>
      </c>
      <c r="E227" s="13" t="s">
        <v>84</v>
      </c>
      <c r="F227" s="13"/>
      <c r="G227" s="13"/>
      <c r="H227" s="13"/>
      <c r="I227" s="13"/>
      <c r="J227" s="13"/>
      <c r="K227" s="13"/>
      <c r="L227" s="13"/>
      <c r="M227" s="13"/>
      <c r="N227" s="13"/>
      <c r="O227" s="13" t="s">
        <v>85</v>
      </c>
    </row>
    <row r="228" customFormat="false" ht="15" hidden="false" customHeight="false" outlineLevel="0" collapsed="false">
      <c r="A228" s="13" t="s">
        <v>279</v>
      </c>
      <c r="B228" s="13" t="s">
        <v>81</v>
      </c>
      <c r="C228" s="13" t="s">
        <v>94</v>
      </c>
      <c r="D228" s="13" t="s">
        <v>95</v>
      </c>
      <c r="E228" s="13" t="s">
        <v>84</v>
      </c>
      <c r="F228" s="13"/>
      <c r="G228" s="13"/>
      <c r="H228" s="13"/>
      <c r="I228" s="13"/>
      <c r="J228" s="13"/>
      <c r="K228" s="13"/>
      <c r="L228" s="13"/>
      <c r="M228" s="13"/>
      <c r="N228" s="13"/>
      <c r="O228" s="13" t="s">
        <v>85</v>
      </c>
    </row>
    <row r="229" customFormat="false" ht="15" hidden="false" customHeight="false" outlineLevel="0" collapsed="false">
      <c r="A229" s="13" t="s">
        <v>279</v>
      </c>
      <c r="B229" s="13" t="s">
        <v>96</v>
      </c>
      <c r="C229" s="13" t="s">
        <v>97</v>
      </c>
      <c r="D229" s="13" t="s">
        <v>98</v>
      </c>
      <c r="E229" s="13" t="s">
        <v>84</v>
      </c>
      <c r="F229" s="13"/>
      <c r="G229" s="13"/>
      <c r="H229" s="13"/>
      <c r="I229" s="13"/>
      <c r="J229" s="13"/>
      <c r="K229" s="13"/>
      <c r="L229" s="13"/>
      <c r="M229" s="13"/>
      <c r="N229" s="13"/>
      <c r="O229" s="13" t="s">
        <v>85</v>
      </c>
    </row>
    <row r="230" customFormat="false" ht="15" hidden="false" customHeight="false" outlineLevel="0" collapsed="false">
      <c r="A230" s="13" t="s">
        <v>279</v>
      </c>
      <c r="B230" s="13" t="s">
        <v>96</v>
      </c>
      <c r="C230" s="13" t="s">
        <v>99</v>
      </c>
      <c r="D230" s="13" t="s">
        <v>100</v>
      </c>
      <c r="E230" s="13" t="s">
        <v>84</v>
      </c>
      <c r="F230" s="13"/>
      <c r="G230" s="13"/>
      <c r="H230" s="13"/>
      <c r="I230" s="13"/>
      <c r="J230" s="13"/>
      <c r="K230" s="13"/>
      <c r="L230" s="13"/>
      <c r="M230" s="13"/>
      <c r="N230" s="13"/>
      <c r="O230" s="13" t="s">
        <v>85</v>
      </c>
    </row>
    <row r="231" customFormat="false" ht="15" hidden="false" customHeight="false" outlineLevel="0" collapsed="false">
      <c r="A231" s="13" t="s">
        <v>279</v>
      </c>
      <c r="B231" s="13" t="s">
        <v>96</v>
      </c>
      <c r="C231" s="13" t="s">
        <v>101</v>
      </c>
      <c r="D231" s="13" t="s">
        <v>102</v>
      </c>
      <c r="E231" s="13" t="s">
        <v>84</v>
      </c>
      <c r="F231" s="13"/>
      <c r="G231" s="13"/>
      <c r="H231" s="13"/>
      <c r="I231" s="13"/>
      <c r="J231" s="13"/>
      <c r="K231" s="13"/>
      <c r="L231" s="13"/>
      <c r="M231" s="13"/>
      <c r="N231" s="13"/>
      <c r="O231" s="13" t="s">
        <v>85</v>
      </c>
    </row>
    <row r="232" customFormat="false" ht="15" hidden="false" customHeight="false" outlineLevel="0" collapsed="false">
      <c r="A232" s="13" t="s">
        <v>279</v>
      </c>
      <c r="B232" s="13" t="s">
        <v>96</v>
      </c>
      <c r="C232" s="13" t="s">
        <v>103</v>
      </c>
      <c r="D232" s="13" t="s">
        <v>104</v>
      </c>
      <c r="E232" s="13" t="s">
        <v>84</v>
      </c>
      <c r="F232" s="13"/>
      <c r="G232" s="13"/>
      <c r="H232" s="13"/>
      <c r="I232" s="13"/>
      <c r="J232" s="13"/>
      <c r="K232" s="13"/>
      <c r="L232" s="13"/>
      <c r="M232" s="13"/>
      <c r="N232" s="13"/>
      <c r="O232" s="13" t="s">
        <v>85</v>
      </c>
    </row>
    <row r="233" customFormat="false" ht="15" hidden="false" customHeight="false" outlineLevel="0" collapsed="false">
      <c r="A233" s="13" t="s">
        <v>279</v>
      </c>
      <c r="B233" s="13" t="s">
        <v>96</v>
      </c>
      <c r="C233" s="13" t="s">
        <v>105</v>
      </c>
      <c r="D233" s="13" t="s">
        <v>106</v>
      </c>
      <c r="E233" s="13" t="s">
        <v>84</v>
      </c>
      <c r="F233" s="13"/>
      <c r="G233" s="13"/>
      <c r="H233" s="13"/>
      <c r="I233" s="13"/>
      <c r="J233" s="13"/>
      <c r="K233" s="13"/>
      <c r="L233" s="13"/>
      <c r="M233" s="13"/>
      <c r="N233" s="13"/>
      <c r="O233" s="13" t="s">
        <v>85</v>
      </c>
    </row>
    <row r="234" customFormat="false" ht="15" hidden="false" customHeight="false" outlineLevel="0" collapsed="false">
      <c r="A234" s="13" t="s">
        <v>279</v>
      </c>
      <c r="B234" s="13" t="s">
        <v>107</v>
      </c>
      <c r="C234" s="13" t="s">
        <v>108</v>
      </c>
      <c r="D234" s="13" t="s">
        <v>109</v>
      </c>
      <c r="E234" s="13" t="s">
        <v>84</v>
      </c>
      <c r="F234" s="13"/>
      <c r="G234" s="13"/>
      <c r="H234" s="13"/>
      <c r="I234" s="13"/>
      <c r="J234" s="13"/>
      <c r="K234" s="13"/>
      <c r="L234" s="13"/>
      <c r="M234" s="13"/>
      <c r="N234" s="13"/>
      <c r="O234" s="13" t="s">
        <v>85</v>
      </c>
    </row>
    <row r="235" customFormat="false" ht="15" hidden="false" customHeight="false" outlineLevel="0" collapsed="false">
      <c r="A235" s="13" t="s">
        <v>279</v>
      </c>
      <c r="B235" s="13" t="s">
        <v>107</v>
      </c>
      <c r="C235" s="13" t="s">
        <v>110</v>
      </c>
      <c r="D235" s="13" t="s">
        <v>111</v>
      </c>
      <c r="E235" s="13" t="s">
        <v>84</v>
      </c>
      <c r="F235" s="13"/>
      <c r="G235" s="13"/>
      <c r="H235" s="13"/>
      <c r="I235" s="13"/>
      <c r="J235" s="13"/>
      <c r="K235" s="13"/>
      <c r="L235" s="13"/>
      <c r="M235" s="13"/>
      <c r="N235" s="13"/>
      <c r="O235" s="13" t="s">
        <v>85</v>
      </c>
    </row>
    <row r="236" customFormat="false" ht="15" hidden="false" customHeight="false" outlineLevel="0" collapsed="false">
      <c r="A236" s="13" t="s">
        <v>279</v>
      </c>
      <c r="B236" s="13" t="s">
        <v>107</v>
      </c>
      <c r="C236" s="13" t="s">
        <v>112</v>
      </c>
      <c r="D236" s="13" t="s">
        <v>113</v>
      </c>
      <c r="E236" s="13" t="s">
        <v>84</v>
      </c>
      <c r="F236" s="13"/>
      <c r="G236" s="13"/>
      <c r="H236" s="13"/>
      <c r="I236" s="13"/>
      <c r="J236" s="13"/>
      <c r="K236" s="13"/>
      <c r="L236" s="13"/>
      <c r="M236" s="13"/>
      <c r="N236" s="13"/>
      <c r="O236" s="13" t="s">
        <v>85</v>
      </c>
    </row>
    <row r="237" customFormat="false" ht="15" hidden="false" customHeight="false" outlineLevel="0" collapsed="false">
      <c r="A237" s="13" t="s">
        <v>279</v>
      </c>
      <c r="B237" s="13" t="s">
        <v>107</v>
      </c>
      <c r="C237" s="13" t="s">
        <v>114</v>
      </c>
      <c r="D237" s="13" t="s">
        <v>115</v>
      </c>
      <c r="E237" s="13" t="s">
        <v>84</v>
      </c>
      <c r="F237" s="13"/>
      <c r="G237" s="13"/>
      <c r="H237" s="13"/>
      <c r="I237" s="13"/>
      <c r="J237" s="13"/>
      <c r="K237" s="13"/>
      <c r="L237" s="13"/>
      <c r="M237" s="13"/>
      <c r="N237" s="13"/>
      <c r="O237" s="13" t="s">
        <v>85</v>
      </c>
    </row>
    <row r="238" customFormat="false" ht="15" hidden="false" customHeight="false" outlineLevel="0" collapsed="false">
      <c r="A238" s="13" t="s">
        <v>279</v>
      </c>
      <c r="B238" s="13" t="s">
        <v>116</v>
      </c>
      <c r="C238" s="13" t="s">
        <v>117</v>
      </c>
      <c r="D238" s="13" t="s">
        <v>118</v>
      </c>
      <c r="E238" s="13" t="s">
        <v>84</v>
      </c>
      <c r="F238" s="13"/>
      <c r="G238" s="13"/>
      <c r="H238" s="13"/>
      <c r="I238" s="13"/>
      <c r="J238" s="13"/>
      <c r="K238" s="13"/>
      <c r="L238" s="13"/>
      <c r="M238" s="13"/>
      <c r="N238" s="13"/>
      <c r="O238" s="13" t="s">
        <v>85</v>
      </c>
    </row>
    <row r="239" customFormat="false" ht="15" hidden="false" customHeight="false" outlineLevel="0" collapsed="false">
      <c r="A239" s="13" t="s">
        <v>279</v>
      </c>
      <c r="B239" s="13" t="s">
        <v>116</v>
      </c>
      <c r="C239" s="13" t="s">
        <v>119</v>
      </c>
      <c r="D239" s="13" t="s">
        <v>120</v>
      </c>
      <c r="E239" s="13" t="s">
        <v>84</v>
      </c>
      <c r="F239" s="13"/>
      <c r="G239" s="13"/>
      <c r="H239" s="13"/>
      <c r="I239" s="13"/>
      <c r="J239" s="13"/>
      <c r="K239" s="13"/>
      <c r="L239" s="13"/>
      <c r="M239" s="13"/>
      <c r="N239" s="13"/>
      <c r="O239" s="13" t="s">
        <v>85</v>
      </c>
    </row>
    <row r="240" customFormat="false" ht="15" hidden="false" customHeight="false" outlineLevel="0" collapsed="false">
      <c r="A240" s="13" t="s">
        <v>279</v>
      </c>
      <c r="B240" s="13" t="s">
        <v>116</v>
      </c>
      <c r="C240" s="13" t="s">
        <v>121</v>
      </c>
      <c r="D240" s="13" t="s">
        <v>122</v>
      </c>
      <c r="E240" s="13" t="s">
        <v>84</v>
      </c>
      <c r="F240" s="13"/>
      <c r="G240" s="13"/>
      <c r="H240" s="13"/>
      <c r="I240" s="13"/>
      <c r="J240" s="13"/>
      <c r="K240" s="13"/>
      <c r="L240" s="13"/>
      <c r="M240" s="13"/>
      <c r="N240" s="13"/>
      <c r="O240" s="13" t="s">
        <v>85</v>
      </c>
    </row>
    <row r="241" customFormat="false" ht="15" hidden="false" customHeight="false" outlineLevel="0" collapsed="false">
      <c r="A241" s="13" t="s">
        <v>279</v>
      </c>
      <c r="B241" s="13" t="s">
        <v>116</v>
      </c>
      <c r="C241" s="13" t="s">
        <v>123</v>
      </c>
      <c r="D241" s="13" t="s">
        <v>124</v>
      </c>
      <c r="E241" s="13" t="s">
        <v>84</v>
      </c>
      <c r="F241" s="13"/>
      <c r="G241" s="13"/>
      <c r="H241" s="13"/>
      <c r="I241" s="13"/>
      <c r="J241" s="13"/>
      <c r="K241" s="13"/>
      <c r="L241" s="13"/>
      <c r="M241" s="13"/>
      <c r="N241" s="13"/>
      <c r="O241" s="13" t="s">
        <v>85</v>
      </c>
    </row>
    <row r="242" customFormat="false" ht="15" hidden="false" customHeight="false" outlineLevel="0" collapsed="false">
      <c r="A242" s="13" t="s">
        <v>279</v>
      </c>
      <c r="B242" s="13" t="s">
        <v>125</v>
      </c>
      <c r="C242" s="13" t="s">
        <v>126</v>
      </c>
      <c r="D242" s="13" t="s">
        <v>127</v>
      </c>
      <c r="E242" s="13" t="s">
        <v>84</v>
      </c>
      <c r="F242" s="13"/>
      <c r="G242" s="13"/>
      <c r="H242" s="13"/>
      <c r="I242" s="13"/>
      <c r="J242" s="13"/>
      <c r="K242" s="13"/>
      <c r="L242" s="13"/>
      <c r="M242" s="13"/>
      <c r="N242" s="13"/>
      <c r="O242" s="13" t="s">
        <v>85</v>
      </c>
    </row>
    <row r="243" customFormat="false" ht="15" hidden="false" customHeight="false" outlineLevel="0" collapsed="false">
      <c r="A243" s="13" t="s">
        <v>279</v>
      </c>
      <c r="B243" s="13" t="s">
        <v>125</v>
      </c>
      <c r="C243" s="13" t="s">
        <v>128</v>
      </c>
      <c r="D243" s="13" t="s">
        <v>129</v>
      </c>
      <c r="E243" s="13" t="s">
        <v>84</v>
      </c>
      <c r="F243" s="13"/>
      <c r="G243" s="13"/>
      <c r="H243" s="13"/>
      <c r="I243" s="13"/>
      <c r="J243" s="13"/>
      <c r="K243" s="13"/>
      <c r="L243" s="13"/>
      <c r="M243" s="13"/>
      <c r="N243" s="13"/>
      <c r="O243" s="13" t="s">
        <v>85</v>
      </c>
    </row>
    <row r="244" customFormat="false" ht="15" hidden="false" customHeight="false" outlineLevel="0" collapsed="false">
      <c r="A244" s="13" t="s">
        <v>279</v>
      </c>
      <c r="B244" s="13" t="s">
        <v>125</v>
      </c>
      <c r="C244" s="13" t="s">
        <v>130</v>
      </c>
      <c r="D244" s="13" t="s">
        <v>131</v>
      </c>
      <c r="E244" s="13" t="s">
        <v>84</v>
      </c>
      <c r="F244" s="13"/>
      <c r="G244" s="13"/>
      <c r="H244" s="13"/>
      <c r="I244" s="13"/>
      <c r="J244" s="13"/>
      <c r="K244" s="13"/>
      <c r="L244" s="13"/>
      <c r="M244" s="13"/>
      <c r="N244" s="13"/>
      <c r="O244" s="13" t="s">
        <v>85</v>
      </c>
    </row>
    <row r="245" customFormat="false" ht="15" hidden="false" customHeight="false" outlineLevel="0" collapsed="false">
      <c r="A245" s="13" t="s">
        <v>279</v>
      </c>
      <c r="B245" s="13" t="s">
        <v>125</v>
      </c>
      <c r="C245" s="13" t="s">
        <v>132</v>
      </c>
      <c r="D245" s="13" t="s">
        <v>133</v>
      </c>
      <c r="E245" s="13" t="s">
        <v>84</v>
      </c>
      <c r="F245" s="13"/>
      <c r="G245" s="13"/>
      <c r="H245" s="13"/>
      <c r="I245" s="13"/>
      <c r="J245" s="13"/>
      <c r="K245" s="13"/>
      <c r="L245" s="13"/>
      <c r="M245" s="13"/>
      <c r="N245" s="13"/>
      <c r="O245" s="13" t="s">
        <v>85</v>
      </c>
    </row>
    <row r="246" customFormat="false" ht="15" hidden="false" customHeight="false" outlineLevel="0" collapsed="false">
      <c r="A246" s="13" t="s">
        <v>279</v>
      </c>
      <c r="B246" s="13" t="s">
        <v>134</v>
      </c>
      <c r="C246" s="13" t="s">
        <v>135</v>
      </c>
      <c r="D246" s="13" t="s">
        <v>136</v>
      </c>
      <c r="E246" s="13" t="s">
        <v>84</v>
      </c>
      <c r="F246" s="13"/>
      <c r="G246" s="13"/>
      <c r="H246" s="13"/>
      <c r="I246" s="13"/>
      <c r="J246" s="13"/>
      <c r="K246" s="13"/>
      <c r="L246" s="13"/>
      <c r="M246" s="13"/>
      <c r="N246" s="13"/>
      <c r="O246" s="13" t="s">
        <v>85</v>
      </c>
    </row>
    <row r="247" customFormat="false" ht="15" hidden="false" customHeight="false" outlineLevel="0" collapsed="false">
      <c r="A247" s="13" t="s">
        <v>279</v>
      </c>
      <c r="B247" s="13" t="s">
        <v>134</v>
      </c>
      <c r="C247" s="13" t="s">
        <v>137</v>
      </c>
      <c r="D247" s="13" t="s">
        <v>138</v>
      </c>
      <c r="E247" s="13" t="s">
        <v>84</v>
      </c>
      <c r="F247" s="13"/>
      <c r="G247" s="13"/>
      <c r="H247" s="13"/>
      <c r="I247" s="13"/>
      <c r="J247" s="13"/>
      <c r="K247" s="13"/>
      <c r="L247" s="13"/>
      <c r="M247" s="13"/>
      <c r="N247" s="13"/>
      <c r="O247" s="13" t="s">
        <v>85</v>
      </c>
    </row>
    <row r="248" customFormat="false" ht="15" hidden="false" customHeight="false" outlineLevel="0" collapsed="false">
      <c r="A248" s="13" t="s">
        <v>279</v>
      </c>
      <c r="B248" s="13" t="s">
        <v>134</v>
      </c>
      <c r="C248" s="13" t="s">
        <v>139</v>
      </c>
      <c r="D248" s="13" t="s">
        <v>140</v>
      </c>
      <c r="E248" s="13" t="s">
        <v>84</v>
      </c>
      <c r="F248" s="13"/>
      <c r="G248" s="13"/>
      <c r="H248" s="13"/>
      <c r="I248" s="13"/>
      <c r="J248" s="13"/>
      <c r="K248" s="13"/>
      <c r="L248" s="13"/>
      <c r="M248" s="13"/>
      <c r="N248" s="13"/>
      <c r="O248" s="13" t="s">
        <v>85</v>
      </c>
    </row>
    <row r="249" customFormat="false" ht="15" hidden="false" customHeight="false" outlineLevel="0" collapsed="false">
      <c r="A249" s="13" t="s">
        <v>279</v>
      </c>
      <c r="B249" s="13" t="s">
        <v>141</v>
      </c>
      <c r="C249" s="13" t="s">
        <v>142</v>
      </c>
      <c r="D249" s="13" t="s">
        <v>143</v>
      </c>
      <c r="E249" s="13" t="s">
        <v>84</v>
      </c>
      <c r="F249" s="13"/>
      <c r="G249" s="13"/>
      <c r="H249" s="13"/>
      <c r="I249" s="13"/>
      <c r="J249" s="13"/>
      <c r="K249" s="13"/>
      <c r="L249" s="13"/>
      <c r="M249" s="13"/>
      <c r="N249" s="13"/>
      <c r="O249" s="13" t="s">
        <v>85</v>
      </c>
    </row>
    <row r="250" customFormat="false" ht="15" hidden="false" customHeight="false" outlineLevel="0" collapsed="false">
      <c r="A250" s="13" t="s">
        <v>279</v>
      </c>
      <c r="B250" s="13" t="s">
        <v>141</v>
      </c>
      <c r="C250" s="13" t="s">
        <v>144</v>
      </c>
      <c r="D250" s="13" t="s">
        <v>145</v>
      </c>
      <c r="E250" s="13" t="s">
        <v>84</v>
      </c>
      <c r="F250" s="13"/>
      <c r="G250" s="13"/>
      <c r="H250" s="13"/>
      <c r="I250" s="13"/>
      <c r="J250" s="13"/>
      <c r="K250" s="13"/>
      <c r="L250" s="13"/>
      <c r="M250" s="13"/>
      <c r="N250" s="13"/>
      <c r="O250" s="13" t="s">
        <v>85</v>
      </c>
    </row>
    <row r="251" customFormat="false" ht="15" hidden="false" customHeight="false" outlineLevel="0" collapsed="false">
      <c r="A251" s="13" t="s">
        <v>279</v>
      </c>
      <c r="B251" s="13" t="s">
        <v>141</v>
      </c>
      <c r="C251" s="13" t="s">
        <v>146</v>
      </c>
      <c r="D251" s="13" t="s">
        <v>147</v>
      </c>
      <c r="E251" s="13" t="s">
        <v>84</v>
      </c>
      <c r="F251" s="13"/>
      <c r="G251" s="13"/>
      <c r="H251" s="13"/>
      <c r="I251" s="13"/>
      <c r="J251" s="13"/>
      <c r="K251" s="13"/>
      <c r="L251" s="13"/>
      <c r="M251" s="13"/>
      <c r="N251" s="13"/>
      <c r="O251" s="13" t="s">
        <v>85</v>
      </c>
    </row>
    <row r="252" customFormat="false" ht="15" hidden="false" customHeight="false" outlineLevel="0" collapsed="false">
      <c r="A252" s="13" t="s">
        <v>279</v>
      </c>
      <c r="B252" s="13" t="s">
        <v>141</v>
      </c>
      <c r="C252" s="13" t="s">
        <v>148</v>
      </c>
      <c r="D252" s="13" t="s">
        <v>149</v>
      </c>
      <c r="E252" s="13" t="s">
        <v>84</v>
      </c>
      <c r="F252" s="13"/>
      <c r="G252" s="13"/>
      <c r="H252" s="13"/>
      <c r="I252" s="13"/>
      <c r="J252" s="13"/>
      <c r="K252" s="13"/>
      <c r="L252" s="13"/>
      <c r="M252" s="13"/>
      <c r="N252" s="13"/>
      <c r="O252" s="13" t="s">
        <v>85</v>
      </c>
    </row>
    <row r="253" customFormat="false" ht="15" hidden="false" customHeight="false" outlineLevel="0" collapsed="false">
      <c r="A253" s="13" t="s">
        <v>279</v>
      </c>
      <c r="B253" s="13" t="s">
        <v>141</v>
      </c>
      <c r="C253" s="13" t="s">
        <v>150</v>
      </c>
      <c r="D253" s="13" t="s">
        <v>151</v>
      </c>
      <c r="E253" s="13" t="s">
        <v>84</v>
      </c>
      <c r="F253" s="13"/>
      <c r="G253" s="13"/>
      <c r="H253" s="13"/>
      <c r="I253" s="13"/>
      <c r="J253" s="13"/>
      <c r="K253" s="13"/>
      <c r="L253" s="13"/>
      <c r="M253" s="13"/>
      <c r="N253" s="13"/>
      <c r="O253" s="13" t="s">
        <v>85</v>
      </c>
    </row>
    <row r="254" customFormat="false" ht="15" hidden="false" customHeight="false" outlineLevel="0" collapsed="false">
      <c r="A254" s="13" t="s">
        <v>279</v>
      </c>
      <c r="B254" s="13" t="s">
        <v>152</v>
      </c>
      <c r="C254" s="13" t="s">
        <v>153</v>
      </c>
      <c r="D254" s="13" t="s">
        <v>154</v>
      </c>
      <c r="E254" s="13" t="s">
        <v>84</v>
      </c>
      <c r="F254" s="13"/>
      <c r="G254" s="13"/>
      <c r="H254" s="13"/>
      <c r="I254" s="13"/>
      <c r="J254" s="13"/>
      <c r="K254" s="13"/>
      <c r="L254" s="13"/>
      <c r="M254" s="13"/>
      <c r="N254" s="13"/>
      <c r="O254" s="13" t="s">
        <v>85</v>
      </c>
    </row>
    <row r="255" customFormat="false" ht="15" hidden="false" customHeight="false" outlineLevel="0" collapsed="false">
      <c r="A255" s="13" t="s">
        <v>279</v>
      </c>
      <c r="B255" s="13" t="s">
        <v>152</v>
      </c>
      <c r="C255" s="13" t="s">
        <v>155</v>
      </c>
      <c r="D255" s="13" t="s">
        <v>156</v>
      </c>
      <c r="E255" s="13" t="s">
        <v>84</v>
      </c>
      <c r="F255" s="13"/>
      <c r="G255" s="13"/>
      <c r="H255" s="13"/>
      <c r="I255" s="13"/>
      <c r="J255" s="13"/>
      <c r="K255" s="13"/>
      <c r="L255" s="13"/>
      <c r="M255" s="13"/>
      <c r="N255" s="13"/>
      <c r="O255" s="13" t="s">
        <v>85</v>
      </c>
    </row>
    <row r="256" customFormat="false" ht="15" hidden="false" customHeight="false" outlineLevel="0" collapsed="false">
      <c r="A256" s="13" t="s">
        <v>279</v>
      </c>
      <c r="B256" s="13" t="s">
        <v>152</v>
      </c>
      <c r="C256" s="13" t="s">
        <v>157</v>
      </c>
      <c r="D256" s="13" t="s">
        <v>158</v>
      </c>
      <c r="E256" s="13" t="s">
        <v>84</v>
      </c>
      <c r="F256" s="13"/>
      <c r="G256" s="13"/>
      <c r="H256" s="13"/>
      <c r="I256" s="13"/>
      <c r="J256" s="13"/>
      <c r="K256" s="13"/>
      <c r="L256" s="13"/>
      <c r="M256" s="13"/>
      <c r="N256" s="13"/>
      <c r="O256" s="13" t="s">
        <v>85</v>
      </c>
    </row>
    <row r="257" customFormat="false" ht="15" hidden="false" customHeight="false" outlineLevel="0" collapsed="false">
      <c r="A257" s="13" t="s">
        <v>279</v>
      </c>
      <c r="B257" s="13" t="s">
        <v>152</v>
      </c>
      <c r="C257" s="13" t="s">
        <v>159</v>
      </c>
      <c r="D257" s="13" t="s">
        <v>160</v>
      </c>
      <c r="E257" s="13" t="s">
        <v>84</v>
      </c>
      <c r="F257" s="13"/>
      <c r="G257" s="13"/>
      <c r="H257" s="13"/>
      <c r="I257" s="13"/>
      <c r="J257" s="13"/>
      <c r="K257" s="13"/>
      <c r="L257" s="13"/>
      <c r="M257" s="13"/>
      <c r="N257" s="13"/>
      <c r="O257" s="13" t="s">
        <v>85</v>
      </c>
    </row>
    <row r="258" customFormat="false" ht="15" hidden="false" customHeight="false" outlineLevel="0" collapsed="false">
      <c r="A258" s="13" t="s">
        <v>279</v>
      </c>
      <c r="B258" s="13" t="s">
        <v>161</v>
      </c>
      <c r="C258" s="13" t="s">
        <v>162</v>
      </c>
      <c r="D258" s="13" t="s">
        <v>163</v>
      </c>
      <c r="E258" s="13" t="s">
        <v>84</v>
      </c>
      <c r="F258" s="13"/>
      <c r="G258" s="13"/>
      <c r="H258" s="13"/>
      <c r="I258" s="13"/>
      <c r="J258" s="13"/>
      <c r="K258" s="13"/>
      <c r="L258" s="13"/>
      <c r="M258" s="13"/>
      <c r="N258" s="13"/>
      <c r="O258" s="13" t="s">
        <v>85</v>
      </c>
    </row>
    <row r="259" customFormat="false" ht="15" hidden="false" customHeight="false" outlineLevel="0" collapsed="false">
      <c r="A259" s="13" t="s">
        <v>279</v>
      </c>
      <c r="B259" s="13" t="s">
        <v>161</v>
      </c>
      <c r="C259" s="13" t="s">
        <v>164</v>
      </c>
      <c r="D259" s="13" t="s">
        <v>165</v>
      </c>
      <c r="E259" s="13" t="s">
        <v>84</v>
      </c>
      <c r="F259" s="13"/>
      <c r="G259" s="13"/>
      <c r="H259" s="13"/>
      <c r="I259" s="13"/>
      <c r="J259" s="13"/>
      <c r="K259" s="13"/>
      <c r="L259" s="13"/>
      <c r="M259" s="13"/>
      <c r="N259" s="13"/>
      <c r="O259" s="13" t="s">
        <v>85</v>
      </c>
    </row>
    <row r="260" customFormat="false" ht="15" hidden="false" customHeight="false" outlineLevel="0" collapsed="false">
      <c r="A260" s="13" t="s">
        <v>279</v>
      </c>
      <c r="B260" s="13" t="s">
        <v>161</v>
      </c>
      <c r="C260" s="13" t="s">
        <v>166</v>
      </c>
      <c r="D260" s="13" t="s">
        <v>167</v>
      </c>
      <c r="E260" s="13" t="s">
        <v>84</v>
      </c>
      <c r="F260" s="13"/>
      <c r="G260" s="13"/>
      <c r="H260" s="13"/>
      <c r="I260" s="13"/>
      <c r="J260" s="13"/>
      <c r="K260" s="13"/>
      <c r="L260" s="13"/>
      <c r="M260" s="13"/>
      <c r="N260" s="13"/>
      <c r="O260" s="13" t="s">
        <v>85</v>
      </c>
    </row>
    <row r="261" customFormat="false" ht="15" hidden="false" customHeight="false" outlineLevel="0" collapsed="false">
      <c r="A261" s="13" t="s">
        <v>279</v>
      </c>
      <c r="B261" s="13" t="s">
        <v>161</v>
      </c>
      <c r="C261" s="13" t="s">
        <v>168</v>
      </c>
      <c r="D261" s="13" t="s">
        <v>169</v>
      </c>
      <c r="E261" s="13" t="s">
        <v>84</v>
      </c>
      <c r="F261" s="13"/>
      <c r="G261" s="13"/>
      <c r="H261" s="13"/>
      <c r="I261" s="13"/>
      <c r="J261" s="13"/>
      <c r="K261" s="13"/>
      <c r="L261" s="13"/>
      <c r="M261" s="13"/>
      <c r="N261" s="13"/>
      <c r="O261" s="13" t="s">
        <v>85</v>
      </c>
    </row>
    <row r="262" customFormat="false" ht="15" hidden="false" customHeight="false" outlineLevel="0" collapsed="false">
      <c r="A262" s="13" t="s">
        <v>279</v>
      </c>
      <c r="B262" s="13" t="s">
        <v>170</v>
      </c>
      <c r="C262" s="13" t="s">
        <v>171</v>
      </c>
      <c r="D262" s="13" t="s">
        <v>172</v>
      </c>
      <c r="E262" s="13" t="s">
        <v>84</v>
      </c>
      <c r="F262" s="13"/>
      <c r="G262" s="13"/>
      <c r="H262" s="13"/>
      <c r="I262" s="13"/>
      <c r="J262" s="13"/>
      <c r="K262" s="13"/>
      <c r="L262" s="13"/>
      <c r="M262" s="13"/>
      <c r="N262" s="13"/>
      <c r="O262" s="13" t="s">
        <v>85</v>
      </c>
    </row>
    <row r="263" customFormat="false" ht="15" hidden="false" customHeight="false" outlineLevel="0" collapsed="false">
      <c r="A263" s="13" t="s">
        <v>279</v>
      </c>
      <c r="B263" s="13" t="s">
        <v>170</v>
      </c>
      <c r="C263" s="13" t="s">
        <v>173</v>
      </c>
      <c r="D263" s="13" t="s">
        <v>174</v>
      </c>
      <c r="E263" s="13" t="s">
        <v>84</v>
      </c>
      <c r="F263" s="13"/>
      <c r="G263" s="13"/>
      <c r="H263" s="13"/>
      <c r="I263" s="13"/>
      <c r="J263" s="13"/>
      <c r="K263" s="13"/>
      <c r="L263" s="13"/>
      <c r="M263" s="13"/>
      <c r="N263" s="13"/>
      <c r="O263" s="13" t="s">
        <v>85</v>
      </c>
    </row>
    <row r="264" customFormat="false" ht="15" hidden="false" customHeight="false" outlineLevel="0" collapsed="false">
      <c r="A264" s="13" t="s">
        <v>279</v>
      </c>
      <c r="B264" s="13" t="s">
        <v>170</v>
      </c>
      <c r="C264" s="13" t="s">
        <v>175</v>
      </c>
      <c r="D264" s="13" t="s">
        <v>176</v>
      </c>
      <c r="E264" s="13" t="s">
        <v>84</v>
      </c>
      <c r="F264" s="13"/>
      <c r="G264" s="13"/>
      <c r="H264" s="13"/>
      <c r="I264" s="13"/>
      <c r="J264" s="13"/>
      <c r="K264" s="13"/>
      <c r="L264" s="13"/>
      <c r="M264" s="13"/>
      <c r="N264" s="13"/>
      <c r="O264" s="13" t="s">
        <v>85</v>
      </c>
    </row>
    <row r="265" customFormat="false" ht="15" hidden="false" customHeight="false" outlineLevel="0" collapsed="false">
      <c r="A265" s="13" t="s">
        <v>279</v>
      </c>
      <c r="B265" s="13" t="s">
        <v>170</v>
      </c>
      <c r="C265" s="13" t="s">
        <v>177</v>
      </c>
      <c r="D265" s="13" t="s">
        <v>178</v>
      </c>
      <c r="E265" s="13" t="s">
        <v>84</v>
      </c>
      <c r="F265" s="13"/>
      <c r="G265" s="13"/>
      <c r="H265" s="13"/>
      <c r="I265" s="13"/>
      <c r="J265" s="13"/>
      <c r="K265" s="13"/>
      <c r="L265" s="13"/>
      <c r="M265" s="13"/>
      <c r="N265" s="13"/>
      <c r="O265" s="13" t="s">
        <v>85</v>
      </c>
    </row>
    <row r="266" customFormat="false" ht="15" hidden="false" customHeight="false" outlineLevel="0" collapsed="false">
      <c r="A266" s="13" t="s">
        <v>279</v>
      </c>
      <c r="B266" s="13" t="s">
        <v>170</v>
      </c>
      <c r="C266" s="13" t="s">
        <v>179</v>
      </c>
      <c r="D266" s="13" t="s">
        <v>180</v>
      </c>
      <c r="E266" s="13" t="s">
        <v>84</v>
      </c>
      <c r="F266" s="13"/>
      <c r="G266" s="13"/>
      <c r="H266" s="13"/>
      <c r="I266" s="13"/>
      <c r="J266" s="13"/>
      <c r="K266" s="13"/>
      <c r="L266" s="13"/>
      <c r="M266" s="13"/>
      <c r="N266" s="13"/>
      <c r="O266" s="13" t="s">
        <v>85</v>
      </c>
    </row>
    <row r="267" customFormat="false" ht="15" hidden="false" customHeight="false" outlineLevel="0" collapsed="false">
      <c r="A267" s="13" t="s">
        <v>280</v>
      </c>
      <c r="B267" s="13" t="s">
        <v>81</v>
      </c>
      <c r="C267" s="13" t="s">
        <v>82</v>
      </c>
      <c r="D267" s="13" t="s">
        <v>83</v>
      </c>
      <c r="E267" s="13" t="s">
        <v>84</v>
      </c>
      <c r="F267" s="13"/>
      <c r="G267" s="13"/>
      <c r="H267" s="13"/>
      <c r="I267" s="13"/>
      <c r="J267" s="13"/>
      <c r="K267" s="13"/>
      <c r="L267" s="13"/>
      <c r="M267" s="13"/>
      <c r="N267" s="13"/>
      <c r="O267" s="13" t="s">
        <v>85</v>
      </c>
    </row>
    <row r="268" customFormat="false" ht="15" hidden="false" customHeight="false" outlineLevel="0" collapsed="false">
      <c r="A268" s="13" t="s">
        <v>280</v>
      </c>
      <c r="B268" s="13" t="s">
        <v>81</v>
      </c>
      <c r="C268" s="13" t="s">
        <v>86</v>
      </c>
      <c r="D268" s="13" t="s">
        <v>87</v>
      </c>
      <c r="E268" s="13" t="s">
        <v>84</v>
      </c>
      <c r="F268" s="13"/>
      <c r="G268" s="13"/>
      <c r="H268" s="13"/>
      <c r="I268" s="13"/>
      <c r="J268" s="13"/>
      <c r="K268" s="13"/>
      <c r="L268" s="13"/>
      <c r="M268" s="13"/>
      <c r="N268" s="13"/>
      <c r="O268" s="13" t="s">
        <v>85</v>
      </c>
    </row>
    <row r="269" customFormat="false" ht="15" hidden="false" customHeight="false" outlineLevel="0" collapsed="false">
      <c r="A269" s="13" t="s">
        <v>280</v>
      </c>
      <c r="B269" s="13" t="s">
        <v>81</v>
      </c>
      <c r="C269" s="13" t="s">
        <v>88</v>
      </c>
      <c r="D269" s="13" t="s">
        <v>89</v>
      </c>
      <c r="E269" s="13" t="s">
        <v>84</v>
      </c>
      <c r="F269" s="13"/>
      <c r="G269" s="13"/>
      <c r="H269" s="13"/>
      <c r="I269" s="13"/>
      <c r="J269" s="13"/>
      <c r="K269" s="13"/>
      <c r="L269" s="13"/>
      <c r="M269" s="13"/>
      <c r="N269" s="13"/>
      <c r="O269" s="13" t="s">
        <v>85</v>
      </c>
    </row>
    <row r="270" customFormat="false" ht="15" hidden="false" customHeight="false" outlineLevel="0" collapsed="false">
      <c r="A270" s="13" t="s">
        <v>280</v>
      </c>
      <c r="B270" s="13" t="s">
        <v>81</v>
      </c>
      <c r="C270" s="13" t="s">
        <v>90</v>
      </c>
      <c r="D270" s="13" t="s">
        <v>91</v>
      </c>
      <c r="E270" s="13" t="s">
        <v>84</v>
      </c>
      <c r="F270" s="13"/>
      <c r="G270" s="13"/>
      <c r="H270" s="13"/>
      <c r="I270" s="13"/>
      <c r="J270" s="13"/>
      <c r="K270" s="13"/>
      <c r="L270" s="13"/>
      <c r="M270" s="13"/>
      <c r="N270" s="13"/>
      <c r="O270" s="13" t="s">
        <v>85</v>
      </c>
    </row>
    <row r="271" customFormat="false" ht="15" hidden="false" customHeight="false" outlineLevel="0" collapsed="false">
      <c r="A271" s="13" t="s">
        <v>280</v>
      </c>
      <c r="B271" s="13" t="s">
        <v>81</v>
      </c>
      <c r="C271" s="13" t="s">
        <v>92</v>
      </c>
      <c r="D271" s="13" t="s">
        <v>93</v>
      </c>
      <c r="E271" s="13" t="s">
        <v>84</v>
      </c>
      <c r="F271" s="13"/>
      <c r="G271" s="13"/>
      <c r="H271" s="13"/>
      <c r="I271" s="13"/>
      <c r="J271" s="13"/>
      <c r="K271" s="13"/>
      <c r="L271" s="13"/>
      <c r="M271" s="13"/>
      <c r="N271" s="13"/>
      <c r="O271" s="13" t="s">
        <v>85</v>
      </c>
    </row>
    <row r="272" customFormat="false" ht="15" hidden="false" customHeight="false" outlineLevel="0" collapsed="false">
      <c r="A272" s="13" t="s">
        <v>280</v>
      </c>
      <c r="B272" s="13" t="s">
        <v>81</v>
      </c>
      <c r="C272" s="13" t="s">
        <v>94</v>
      </c>
      <c r="D272" s="13" t="s">
        <v>95</v>
      </c>
      <c r="E272" s="13" t="s">
        <v>84</v>
      </c>
      <c r="F272" s="13"/>
      <c r="G272" s="13"/>
      <c r="H272" s="13"/>
      <c r="I272" s="13"/>
      <c r="J272" s="13"/>
      <c r="K272" s="13"/>
      <c r="L272" s="13"/>
      <c r="M272" s="13"/>
      <c r="N272" s="13"/>
      <c r="O272" s="13" t="s">
        <v>85</v>
      </c>
    </row>
    <row r="273" customFormat="false" ht="15" hidden="false" customHeight="false" outlineLevel="0" collapsed="false">
      <c r="A273" s="13" t="s">
        <v>280</v>
      </c>
      <c r="B273" s="13" t="s">
        <v>96</v>
      </c>
      <c r="C273" s="13" t="s">
        <v>97</v>
      </c>
      <c r="D273" s="13" t="s">
        <v>98</v>
      </c>
      <c r="E273" s="13" t="s">
        <v>84</v>
      </c>
      <c r="F273" s="13"/>
      <c r="G273" s="13"/>
      <c r="H273" s="13"/>
      <c r="I273" s="13"/>
      <c r="J273" s="13"/>
      <c r="K273" s="13"/>
      <c r="L273" s="13"/>
      <c r="M273" s="13"/>
      <c r="N273" s="13"/>
      <c r="O273" s="13" t="s">
        <v>85</v>
      </c>
    </row>
    <row r="274" customFormat="false" ht="15" hidden="false" customHeight="false" outlineLevel="0" collapsed="false">
      <c r="A274" s="13" t="s">
        <v>280</v>
      </c>
      <c r="B274" s="13" t="s">
        <v>96</v>
      </c>
      <c r="C274" s="13" t="s">
        <v>99</v>
      </c>
      <c r="D274" s="13" t="s">
        <v>100</v>
      </c>
      <c r="E274" s="13" t="s">
        <v>84</v>
      </c>
      <c r="F274" s="13"/>
      <c r="G274" s="13"/>
      <c r="H274" s="13"/>
      <c r="I274" s="13"/>
      <c r="J274" s="13"/>
      <c r="K274" s="13"/>
      <c r="L274" s="13"/>
      <c r="M274" s="13"/>
      <c r="N274" s="13"/>
      <c r="O274" s="13" t="s">
        <v>85</v>
      </c>
    </row>
    <row r="275" customFormat="false" ht="15" hidden="false" customHeight="false" outlineLevel="0" collapsed="false">
      <c r="A275" s="13" t="s">
        <v>280</v>
      </c>
      <c r="B275" s="13" t="s">
        <v>96</v>
      </c>
      <c r="C275" s="13" t="s">
        <v>101</v>
      </c>
      <c r="D275" s="13" t="s">
        <v>102</v>
      </c>
      <c r="E275" s="13" t="s">
        <v>84</v>
      </c>
      <c r="F275" s="13"/>
      <c r="G275" s="13"/>
      <c r="H275" s="13"/>
      <c r="I275" s="13"/>
      <c r="J275" s="13"/>
      <c r="K275" s="13"/>
      <c r="L275" s="13"/>
      <c r="M275" s="13"/>
      <c r="N275" s="13"/>
      <c r="O275" s="13" t="s">
        <v>85</v>
      </c>
    </row>
    <row r="276" customFormat="false" ht="15" hidden="false" customHeight="false" outlineLevel="0" collapsed="false">
      <c r="A276" s="13" t="s">
        <v>280</v>
      </c>
      <c r="B276" s="13" t="s">
        <v>96</v>
      </c>
      <c r="C276" s="13" t="s">
        <v>103</v>
      </c>
      <c r="D276" s="13" t="s">
        <v>104</v>
      </c>
      <c r="E276" s="13" t="s">
        <v>84</v>
      </c>
      <c r="F276" s="13"/>
      <c r="G276" s="13"/>
      <c r="H276" s="13"/>
      <c r="I276" s="13"/>
      <c r="J276" s="13"/>
      <c r="K276" s="13"/>
      <c r="L276" s="13"/>
      <c r="M276" s="13"/>
      <c r="N276" s="13"/>
      <c r="O276" s="13" t="s">
        <v>85</v>
      </c>
    </row>
    <row r="277" customFormat="false" ht="15" hidden="false" customHeight="false" outlineLevel="0" collapsed="false">
      <c r="A277" s="13" t="s">
        <v>280</v>
      </c>
      <c r="B277" s="13" t="s">
        <v>96</v>
      </c>
      <c r="C277" s="13" t="s">
        <v>105</v>
      </c>
      <c r="D277" s="13" t="s">
        <v>106</v>
      </c>
      <c r="E277" s="13" t="s">
        <v>84</v>
      </c>
      <c r="F277" s="13"/>
      <c r="G277" s="13"/>
      <c r="H277" s="13"/>
      <c r="I277" s="13"/>
      <c r="J277" s="13"/>
      <c r="K277" s="13"/>
      <c r="L277" s="13"/>
      <c r="M277" s="13"/>
      <c r="N277" s="13"/>
      <c r="O277" s="13" t="s">
        <v>85</v>
      </c>
    </row>
    <row r="278" customFormat="false" ht="15" hidden="false" customHeight="false" outlineLevel="0" collapsed="false">
      <c r="A278" s="13" t="s">
        <v>280</v>
      </c>
      <c r="B278" s="13" t="s">
        <v>107</v>
      </c>
      <c r="C278" s="13" t="s">
        <v>108</v>
      </c>
      <c r="D278" s="13" t="s">
        <v>109</v>
      </c>
      <c r="E278" s="13" t="s">
        <v>84</v>
      </c>
      <c r="F278" s="13"/>
      <c r="G278" s="13"/>
      <c r="H278" s="13"/>
      <c r="I278" s="13"/>
      <c r="J278" s="13"/>
      <c r="K278" s="13"/>
      <c r="L278" s="13"/>
      <c r="M278" s="13"/>
      <c r="N278" s="13"/>
      <c r="O278" s="13" t="s">
        <v>85</v>
      </c>
    </row>
    <row r="279" customFormat="false" ht="15" hidden="false" customHeight="false" outlineLevel="0" collapsed="false">
      <c r="A279" s="13" t="s">
        <v>280</v>
      </c>
      <c r="B279" s="13" t="s">
        <v>107</v>
      </c>
      <c r="C279" s="13" t="s">
        <v>110</v>
      </c>
      <c r="D279" s="13" t="s">
        <v>111</v>
      </c>
      <c r="E279" s="13" t="s">
        <v>84</v>
      </c>
      <c r="F279" s="13"/>
      <c r="G279" s="13"/>
      <c r="H279" s="13"/>
      <c r="I279" s="13"/>
      <c r="J279" s="13"/>
      <c r="K279" s="13"/>
      <c r="L279" s="13"/>
      <c r="M279" s="13"/>
      <c r="N279" s="13"/>
      <c r="O279" s="13" t="s">
        <v>85</v>
      </c>
    </row>
    <row r="280" customFormat="false" ht="15" hidden="false" customHeight="false" outlineLevel="0" collapsed="false">
      <c r="A280" s="13" t="s">
        <v>280</v>
      </c>
      <c r="B280" s="13" t="s">
        <v>107</v>
      </c>
      <c r="C280" s="13" t="s">
        <v>112</v>
      </c>
      <c r="D280" s="13" t="s">
        <v>113</v>
      </c>
      <c r="E280" s="13" t="s">
        <v>84</v>
      </c>
      <c r="F280" s="13"/>
      <c r="G280" s="13"/>
      <c r="H280" s="13"/>
      <c r="I280" s="13"/>
      <c r="J280" s="13"/>
      <c r="K280" s="13"/>
      <c r="L280" s="13"/>
      <c r="M280" s="13"/>
      <c r="N280" s="13"/>
      <c r="O280" s="13" t="s">
        <v>85</v>
      </c>
    </row>
    <row r="281" customFormat="false" ht="15" hidden="false" customHeight="false" outlineLevel="0" collapsed="false">
      <c r="A281" s="13" t="s">
        <v>280</v>
      </c>
      <c r="B281" s="13" t="s">
        <v>107</v>
      </c>
      <c r="C281" s="13" t="s">
        <v>114</v>
      </c>
      <c r="D281" s="13" t="s">
        <v>115</v>
      </c>
      <c r="E281" s="13" t="s">
        <v>84</v>
      </c>
      <c r="F281" s="13"/>
      <c r="G281" s="13"/>
      <c r="H281" s="13"/>
      <c r="I281" s="13"/>
      <c r="J281" s="13"/>
      <c r="K281" s="13"/>
      <c r="L281" s="13"/>
      <c r="M281" s="13"/>
      <c r="N281" s="13"/>
      <c r="O281" s="13" t="s">
        <v>85</v>
      </c>
    </row>
    <row r="282" customFormat="false" ht="15" hidden="false" customHeight="false" outlineLevel="0" collapsed="false">
      <c r="A282" s="13" t="s">
        <v>280</v>
      </c>
      <c r="B282" s="13" t="s">
        <v>116</v>
      </c>
      <c r="C282" s="13" t="s">
        <v>117</v>
      </c>
      <c r="D282" s="13" t="s">
        <v>118</v>
      </c>
      <c r="E282" s="13" t="s">
        <v>84</v>
      </c>
      <c r="F282" s="13"/>
      <c r="G282" s="13"/>
      <c r="H282" s="13"/>
      <c r="I282" s="13"/>
      <c r="J282" s="13"/>
      <c r="K282" s="13"/>
      <c r="L282" s="13"/>
      <c r="M282" s="13"/>
      <c r="N282" s="13"/>
      <c r="O282" s="13" t="s">
        <v>85</v>
      </c>
    </row>
    <row r="283" customFormat="false" ht="15" hidden="false" customHeight="false" outlineLevel="0" collapsed="false">
      <c r="A283" s="13" t="s">
        <v>280</v>
      </c>
      <c r="B283" s="13" t="s">
        <v>116</v>
      </c>
      <c r="C283" s="13" t="s">
        <v>119</v>
      </c>
      <c r="D283" s="13" t="s">
        <v>120</v>
      </c>
      <c r="E283" s="13" t="s">
        <v>84</v>
      </c>
      <c r="F283" s="13"/>
      <c r="G283" s="13"/>
      <c r="H283" s="13"/>
      <c r="I283" s="13"/>
      <c r="J283" s="13"/>
      <c r="K283" s="13"/>
      <c r="L283" s="13"/>
      <c r="M283" s="13"/>
      <c r="N283" s="13"/>
      <c r="O283" s="13" t="s">
        <v>85</v>
      </c>
    </row>
    <row r="284" customFormat="false" ht="15" hidden="false" customHeight="false" outlineLevel="0" collapsed="false">
      <c r="A284" s="13" t="s">
        <v>280</v>
      </c>
      <c r="B284" s="13" t="s">
        <v>116</v>
      </c>
      <c r="C284" s="13" t="s">
        <v>121</v>
      </c>
      <c r="D284" s="13" t="s">
        <v>122</v>
      </c>
      <c r="E284" s="13" t="s">
        <v>84</v>
      </c>
      <c r="F284" s="13"/>
      <c r="G284" s="13"/>
      <c r="H284" s="13"/>
      <c r="I284" s="13"/>
      <c r="J284" s="13"/>
      <c r="K284" s="13"/>
      <c r="L284" s="13"/>
      <c r="M284" s="13"/>
      <c r="N284" s="13"/>
      <c r="O284" s="13" t="s">
        <v>85</v>
      </c>
    </row>
    <row r="285" customFormat="false" ht="15" hidden="false" customHeight="false" outlineLevel="0" collapsed="false">
      <c r="A285" s="13" t="s">
        <v>280</v>
      </c>
      <c r="B285" s="13" t="s">
        <v>116</v>
      </c>
      <c r="C285" s="13" t="s">
        <v>123</v>
      </c>
      <c r="D285" s="13" t="s">
        <v>124</v>
      </c>
      <c r="E285" s="13" t="s">
        <v>84</v>
      </c>
      <c r="F285" s="13"/>
      <c r="G285" s="13"/>
      <c r="H285" s="13"/>
      <c r="I285" s="13"/>
      <c r="J285" s="13"/>
      <c r="K285" s="13"/>
      <c r="L285" s="13"/>
      <c r="M285" s="13"/>
      <c r="N285" s="13"/>
      <c r="O285" s="13" t="s">
        <v>85</v>
      </c>
    </row>
    <row r="286" customFormat="false" ht="15" hidden="false" customHeight="false" outlineLevel="0" collapsed="false">
      <c r="A286" s="13" t="s">
        <v>280</v>
      </c>
      <c r="B286" s="13" t="s">
        <v>125</v>
      </c>
      <c r="C286" s="13" t="s">
        <v>126</v>
      </c>
      <c r="D286" s="13" t="s">
        <v>127</v>
      </c>
      <c r="E286" s="13" t="s">
        <v>84</v>
      </c>
      <c r="F286" s="13"/>
      <c r="G286" s="13"/>
      <c r="H286" s="13"/>
      <c r="I286" s="13"/>
      <c r="J286" s="13"/>
      <c r="K286" s="13"/>
      <c r="L286" s="13"/>
      <c r="M286" s="13"/>
      <c r="N286" s="13"/>
      <c r="O286" s="13" t="s">
        <v>85</v>
      </c>
    </row>
    <row r="287" customFormat="false" ht="15" hidden="false" customHeight="false" outlineLevel="0" collapsed="false">
      <c r="A287" s="13" t="s">
        <v>280</v>
      </c>
      <c r="B287" s="13" t="s">
        <v>125</v>
      </c>
      <c r="C287" s="13" t="s">
        <v>128</v>
      </c>
      <c r="D287" s="13" t="s">
        <v>129</v>
      </c>
      <c r="E287" s="13" t="s">
        <v>84</v>
      </c>
      <c r="F287" s="13"/>
      <c r="G287" s="13"/>
      <c r="H287" s="13"/>
      <c r="I287" s="13"/>
      <c r="J287" s="13"/>
      <c r="K287" s="13"/>
      <c r="L287" s="13"/>
      <c r="M287" s="13"/>
      <c r="N287" s="13"/>
      <c r="O287" s="13" t="s">
        <v>85</v>
      </c>
    </row>
    <row r="288" customFormat="false" ht="15" hidden="false" customHeight="false" outlineLevel="0" collapsed="false">
      <c r="A288" s="13" t="s">
        <v>280</v>
      </c>
      <c r="B288" s="13" t="s">
        <v>125</v>
      </c>
      <c r="C288" s="13" t="s">
        <v>130</v>
      </c>
      <c r="D288" s="13" t="s">
        <v>131</v>
      </c>
      <c r="E288" s="13" t="s">
        <v>84</v>
      </c>
      <c r="F288" s="13"/>
      <c r="G288" s="13"/>
      <c r="H288" s="13"/>
      <c r="I288" s="13"/>
      <c r="J288" s="13"/>
      <c r="K288" s="13"/>
      <c r="L288" s="13"/>
      <c r="M288" s="13"/>
      <c r="N288" s="13"/>
      <c r="O288" s="13" t="s">
        <v>85</v>
      </c>
    </row>
    <row r="289" customFormat="false" ht="15" hidden="false" customHeight="false" outlineLevel="0" collapsed="false">
      <c r="A289" s="13" t="s">
        <v>280</v>
      </c>
      <c r="B289" s="13" t="s">
        <v>125</v>
      </c>
      <c r="C289" s="13" t="s">
        <v>132</v>
      </c>
      <c r="D289" s="13" t="s">
        <v>133</v>
      </c>
      <c r="E289" s="13" t="s">
        <v>84</v>
      </c>
      <c r="F289" s="13"/>
      <c r="G289" s="13"/>
      <c r="H289" s="13"/>
      <c r="I289" s="13"/>
      <c r="J289" s="13"/>
      <c r="K289" s="13"/>
      <c r="L289" s="13"/>
      <c r="M289" s="13"/>
      <c r="N289" s="13"/>
      <c r="O289" s="13" t="s">
        <v>85</v>
      </c>
    </row>
    <row r="290" customFormat="false" ht="15" hidden="false" customHeight="false" outlineLevel="0" collapsed="false">
      <c r="A290" s="13" t="s">
        <v>280</v>
      </c>
      <c r="B290" s="13" t="s">
        <v>134</v>
      </c>
      <c r="C290" s="13" t="s">
        <v>135</v>
      </c>
      <c r="D290" s="13" t="s">
        <v>136</v>
      </c>
      <c r="E290" s="13" t="s">
        <v>84</v>
      </c>
      <c r="F290" s="13"/>
      <c r="G290" s="13"/>
      <c r="H290" s="13"/>
      <c r="I290" s="13"/>
      <c r="J290" s="13"/>
      <c r="K290" s="13"/>
      <c r="L290" s="13"/>
      <c r="M290" s="13"/>
      <c r="N290" s="13"/>
      <c r="O290" s="13" t="s">
        <v>85</v>
      </c>
    </row>
    <row r="291" customFormat="false" ht="15" hidden="false" customHeight="false" outlineLevel="0" collapsed="false">
      <c r="A291" s="13" t="s">
        <v>280</v>
      </c>
      <c r="B291" s="13" t="s">
        <v>134</v>
      </c>
      <c r="C291" s="13" t="s">
        <v>137</v>
      </c>
      <c r="D291" s="13" t="s">
        <v>138</v>
      </c>
      <c r="E291" s="13" t="s">
        <v>84</v>
      </c>
      <c r="F291" s="13"/>
      <c r="G291" s="13"/>
      <c r="H291" s="13"/>
      <c r="I291" s="13"/>
      <c r="J291" s="13"/>
      <c r="K291" s="13"/>
      <c r="L291" s="13"/>
      <c r="M291" s="13"/>
      <c r="N291" s="13"/>
      <c r="O291" s="13" t="s">
        <v>85</v>
      </c>
    </row>
    <row r="292" customFormat="false" ht="15" hidden="false" customHeight="false" outlineLevel="0" collapsed="false">
      <c r="A292" s="13" t="s">
        <v>280</v>
      </c>
      <c r="B292" s="13" t="s">
        <v>134</v>
      </c>
      <c r="C292" s="13" t="s">
        <v>139</v>
      </c>
      <c r="D292" s="13" t="s">
        <v>140</v>
      </c>
      <c r="E292" s="13" t="s">
        <v>84</v>
      </c>
      <c r="F292" s="13"/>
      <c r="G292" s="13"/>
      <c r="H292" s="13"/>
      <c r="I292" s="13"/>
      <c r="J292" s="13"/>
      <c r="K292" s="13"/>
      <c r="L292" s="13"/>
      <c r="M292" s="13"/>
      <c r="N292" s="13"/>
      <c r="O292" s="13" t="s">
        <v>85</v>
      </c>
    </row>
    <row r="293" customFormat="false" ht="15" hidden="false" customHeight="false" outlineLevel="0" collapsed="false">
      <c r="A293" s="13" t="s">
        <v>280</v>
      </c>
      <c r="B293" s="13" t="s">
        <v>141</v>
      </c>
      <c r="C293" s="13" t="s">
        <v>142</v>
      </c>
      <c r="D293" s="13" t="s">
        <v>143</v>
      </c>
      <c r="E293" s="13" t="s">
        <v>84</v>
      </c>
      <c r="F293" s="13"/>
      <c r="G293" s="13"/>
      <c r="H293" s="13"/>
      <c r="I293" s="13"/>
      <c r="J293" s="13"/>
      <c r="K293" s="13"/>
      <c r="L293" s="13"/>
      <c r="M293" s="13"/>
      <c r="N293" s="13"/>
      <c r="O293" s="13" t="s">
        <v>85</v>
      </c>
    </row>
    <row r="294" customFormat="false" ht="15" hidden="false" customHeight="false" outlineLevel="0" collapsed="false">
      <c r="A294" s="13" t="s">
        <v>280</v>
      </c>
      <c r="B294" s="13" t="s">
        <v>141</v>
      </c>
      <c r="C294" s="13" t="s">
        <v>144</v>
      </c>
      <c r="D294" s="13" t="s">
        <v>145</v>
      </c>
      <c r="E294" s="13" t="s">
        <v>84</v>
      </c>
      <c r="F294" s="13"/>
      <c r="G294" s="13"/>
      <c r="H294" s="13"/>
      <c r="I294" s="13"/>
      <c r="J294" s="13"/>
      <c r="K294" s="13"/>
      <c r="L294" s="13"/>
      <c r="M294" s="13"/>
      <c r="N294" s="13"/>
      <c r="O294" s="13" t="s">
        <v>85</v>
      </c>
    </row>
    <row r="295" customFormat="false" ht="15" hidden="false" customHeight="false" outlineLevel="0" collapsed="false">
      <c r="A295" s="13" t="s">
        <v>280</v>
      </c>
      <c r="B295" s="13" t="s">
        <v>141</v>
      </c>
      <c r="C295" s="13" t="s">
        <v>146</v>
      </c>
      <c r="D295" s="13" t="s">
        <v>147</v>
      </c>
      <c r="E295" s="13" t="s">
        <v>84</v>
      </c>
      <c r="F295" s="13"/>
      <c r="G295" s="13"/>
      <c r="H295" s="13"/>
      <c r="I295" s="13"/>
      <c r="J295" s="13"/>
      <c r="K295" s="13"/>
      <c r="L295" s="13"/>
      <c r="M295" s="13"/>
      <c r="N295" s="13"/>
      <c r="O295" s="13" t="s">
        <v>85</v>
      </c>
    </row>
    <row r="296" customFormat="false" ht="15" hidden="false" customHeight="false" outlineLevel="0" collapsed="false">
      <c r="A296" s="13" t="s">
        <v>280</v>
      </c>
      <c r="B296" s="13" t="s">
        <v>141</v>
      </c>
      <c r="C296" s="13" t="s">
        <v>148</v>
      </c>
      <c r="D296" s="13" t="s">
        <v>149</v>
      </c>
      <c r="E296" s="13" t="s">
        <v>84</v>
      </c>
      <c r="F296" s="13"/>
      <c r="G296" s="13"/>
      <c r="H296" s="13"/>
      <c r="I296" s="13"/>
      <c r="J296" s="13"/>
      <c r="K296" s="13"/>
      <c r="L296" s="13"/>
      <c r="M296" s="13"/>
      <c r="N296" s="13"/>
      <c r="O296" s="13" t="s">
        <v>85</v>
      </c>
    </row>
    <row r="297" customFormat="false" ht="15" hidden="false" customHeight="false" outlineLevel="0" collapsed="false">
      <c r="A297" s="13" t="s">
        <v>280</v>
      </c>
      <c r="B297" s="13" t="s">
        <v>141</v>
      </c>
      <c r="C297" s="13" t="s">
        <v>150</v>
      </c>
      <c r="D297" s="13" t="s">
        <v>151</v>
      </c>
      <c r="E297" s="13" t="s">
        <v>84</v>
      </c>
      <c r="F297" s="13"/>
      <c r="G297" s="13"/>
      <c r="H297" s="13"/>
      <c r="I297" s="13"/>
      <c r="J297" s="13"/>
      <c r="K297" s="13"/>
      <c r="L297" s="13"/>
      <c r="M297" s="13"/>
      <c r="N297" s="13"/>
      <c r="O297" s="13" t="s">
        <v>85</v>
      </c>
    </row>
    <row r="298" customFormat="false" ht="15" hidden="false" customHeight="false" outlineLevel="0" collapsed="false">
      <c r="A298" s="13" t="s">
        <v>280</v>
      </c>
      <c r="B298" s="13" t="s">
        <v>152</v>
      </c>
      <c r="C298" s="13" t="s">
        <v>153</v>
      </c>
      <c r="D298" s="13" t="s">
        <v>154</v>
      </c>
      <c r="E298" s="13" t="s">
        <v>84</v>
      </c>
      <c r="F298" s="13"/>
      <c r="G298" s="13"/>
      <c r="H298" s="13"/>
      <c r="I298" s="13"/>
      <c r="J298" s="13"/>
      <c r="K298" s="13"/>
      <c r="L298" s="13"/>
      <c r="M298" s="13"/>
      <c r="N298" s="13"/>
      <c r="O298" s="13" t="s">
        <v>85</v>
      </c>
    </row>
    <row r="299" customFormat="false" ht="15" hidden="false" customHeight="false" outlineLevel="0" collapsed="false">
      <c r="A299" s="13" t="s">
        <v>280</v>
      </c>
      <c r="B299" s="13" t="s">
        <v>152</v>
      </c>
      <c r="C299" s="13" t="s">
        <v>155</v>
      </c>
      <c r="D299" s="13" t="s">
        <v>156</v>
      </c>
      <c r="E299" s="13" t="s">
        <v>84</v>
      </c>
      <c r="F299" s="13"/>
      <c r="G299" s="13"/>
      <c r="H299" s="13"/>
      <c r="I299" s="13"/>
      <c r="J299" s="13"/>
      <c r="K299" s="13"/>
      <c r="L299" s="13"/>
      <c r="M299" s="13"/>
      <c r="N299" s="13"/>
      <c r="O299" s="13" t="s">
        <v>85</v>
      </c>
    </row>
    <row r="300" customFormat="false" ht="15" hidden="false" customHeight="false" outlineLevel="0" collapsed="false">
      <c r="A300" s="13" t="s">
        <v>280</v>
      </c>
      <c r="B300" s="13" t="s">
        <v>152</v>
      </c>
      <c r="C300" s="13" t="s">
        <v>157</v>
      </c>
      <c r="D300" s="13" t="s">
        <v>158</v>
      </c>
      <c r="E300" s="13" t="s">
        <v>84</v>
      </c>
      <c r="F300" s="13"/>
      <c r="G300" s="13"/>
      <c r="H300" s="13"/>
      <c r="I300" s="13"/>
      <c r="J300" s="13"/>
      <c r="K300" s="13"/>
      <c r="L300" s="13"/>
      <c r="M300" s="13"/>
      <c r="N300" s="13"/>
      <c r="O300" s="13" t="s">
        <v>85</v>
      </c>
    </row>
    <row r="301" customFormat="false" ht="15" hidden="false" customHeight="false" outlineLevel="0" collapsed="false">
      <c r="A301" s="13" t="s">
        <v>280</v>
      </c>
      <c r="B301" s="13" t="s">
        <v>152</v>
      </c>
      <c r="C301" s="13" t="s">
        <v>159</v>
      </c>
      <c r="D301" s="13" t="s">
        <v>160</v>
      </c>
      <c r="E301" s="13" t="s">
        <v>84</v>
      </c>
      <c r="F301" s="13"/>
      <c r="G301" s="13"/>
      <c r="H301" s="13"/>
      <c r="I301" s="13"/>
      <c r="J301" s="13"/>
      <c r="K301" s="13"/>
      <c r="L301" s="13"/>
      <c r="M301" s="13"/>
      <c r="N301" s="13"/>
      <c r="O301" s="13" t="s">
        <v>85</v>
      </c>
    </row>
    <row r="302" customFormat="false" ht="15" hidden="false" customHeight="false" outlineLevel="0" collapsed="false">
      <c r="A302" s="13" t="s">
        <v>280</v>
      </c>
      <c r="B302" s="13" t="s">
        <v>161</v>
      </c>
      <c r="C302" s="13" t="s">
        <v>162</v>
      </c>
      <c r="D302" s="13" t="s">
        <v>163</v>
      </c>
      <c r="E302" s="13" t="s">
        <v>84</v>
      </c>
      <c r="F302" s="13"/>
      <c r="G302" s="13"/>
      <c r="H302" s="13"/>
      <c r="I302" s="13"/>
      <c r="J302" s="13"/>
      <c r="K302" s="13"/>
      <c r="L302" s="13"/>
      <c r="M302" s="13"/>
      <c r="N302" s="13"/>
      <c r="O302" s="13" t="s">
        <v>85</v>
      </c>
    </row>
    <row r="303" customFormat="false" ht="15" hidden="false" customHeight="false" outlineLevel="0" collapsed="false">
      <c r="A303" s="13" t="s">
        <v>280</v>
      </c>
      <c r="B303" s="13" t="s">
        <v>161</v>
      </c>
      <c r="C303" s="13" t="s">
        <v>164</v>
      </c>
      <c r="D303" s="13" t="s">
        <v>165</v>
      </c>
      <c r="E303" s="13" t="s">
        <v>84</v>
      </c>
      <c r="F303" s="13"/>
      <c r="G303" s="13"/>
      <c r="H303" s="13"/>
      <c r="I303" s="13"/>
      <c r="J303" s="13"/>
      <c r="K303" s="13"/>
      <c r="L303" s="13"/>
      <c r="M303" s="13"/>
      <c r="N303" s="13"/>
      <c r="O303" s="13" t="s">
        <v>85</v>
      </c>
    </row>
    <row r="304" customFormat="false" ht="15" hidden="false" customHeight="false" outlineLevel="0" collapsed="false">
      <c r="A304" s="13" t="s">
        <v>280</v>
      </c>
      <c r="B304" s="13" t="s">
        <v>161</v>
      </c>
      <c r="C304" s="13" t="s">
        <v>166</v>
      </c>
      <c r="D304" s="13" t="s">
        <v>167</v>
      </c>
      <c r="E304" s="13" t="s">
        <v>84</v>
      </c>
      <c r="F304" s="13"/>
      <c r="G304" s="13"/>
      <c r="H304" s="13"/>
      <c r="I304" s="13"/>
      <c r="J304" s="13"/>
      <c r="K304" s="13"/>
      <c r="L304" s="13"/>
      <c r="M304" s="13"/>
      <c r="N304" s="13"/>
      <c r="O304" s="13" t="s">
        <v>85</v>
      </c>
    </row>
    <row r="305" customFormat="false" ht="15" hidden="false" customHeight="false" outlineLevel="0" collapsed="false">
      <c r="A305" s="13" t="s">
        <v>280</v>
      </c>
      <c r="B305" s="13" t="s">
        <v>161</v>
      </c>
      <c r="C305" s="13" t="s">
        <v>168</v>
      </c>
      <c r="D305" s="13" t="s">
        <v>169</v>
      </c>
      <c r="E305" s="13" t="s">
        <v>84</v>
      </c>
      <c r="F305" s="13"/>
      <c r="G305" s="13"/>
      <c r="H305" s="13"/>
      <c r="I305" s="13"/>
      <c r="J305" s="13"/>
      <c r="K305" s="13"/>
      <c r="L305" s="13"/>
      <c r="M305" s="13"/>
      <c r="N305" s="13"/>
      <c r="O305" s="13" t="s">
        <v>85</v>
      </c>
    </row>
    <row r="306" customFormat="false" ht="15" hidden="false" customHeight="false" outlineLevel="0" collapsed="false">
      <c r="A306" s="13" t="s">
        <v>280</v>
      </c>
      <c r="B306" s="13" t="s">
        <v>170</v>
      </c>
      <c r="C306" s="13" t="s">
        <v>171</v>
      </c>
      <c r="D306" s="13" t="s">
        <v>172</v>
      </c>
      <c r="E306" s="13" t="s">
        <v>84</v>
      </c>
      <c r="F306" s="13"/>
      <c r="G306" s="13"/>
      <c r="H306" s="13"/>
      <c r="I306" s="13"/>
      <c r="J306" s="13"/>
      <c r="K306" s="13"/>
      <c r="L306" s="13"/>
      <c r="M306" s="13"/>
      <c r="N306" s="13"/>
      <c r="O306" s="13" t="s">
        <v>85</v>
      </c>
    </row>
    <row r="307" customFormat="false" ht="15" hidden="false" customHeight="false" outlineLevel="0" collapsed="false">
      <c r="A307" s="13" t="s">
        <v>280</v>
      </c>
      <c r="B307" s="13" t="s">
        <v>170</v>
      </c>
      <c r="C307" s="13" t="s">
        <v>173</v>
      </c>
      <c r="D307" s="13" t="s">
        <v>174</v>
      </c>
      <c r="E307" s="13" t="s">
        <v>84</v>
      </c>
      <c r="F307" s="13"/>
      <c r="G307" s="13"/>
      <c r="H307" s="13"/>
      <c r="I307" s="13"/>
      <c r="J307" s="13"/>
      <c r="K307" s="13"/>
      <c r="L307" s="13"/>
      <c r="M307" s="13"/>
      <c r="N307" s="13"/>
      <c r="O307" s="13" t="s">
        <v>85</v>
      </c>
    </row>
    <row r="308" customFormat="false" ht="15" hidden="false" customHeight="false" outlineLevel="0" collapsed="false">
      <c r="A308" s="13" t="s">
        <v>280</v>
      </c>
      <c r="B308" s="13" t="s">
        <v>170</v>
      </c>
      <c r="C308" s="13" t="s">
        <v>175</v>
      </c>
      <c r="D308" s="13" t="s">
        <v>176</v>
      </c>
      <c r="E308" s="13" t="s">
        <v>84</v>
      </c>
      <c r="F308" s="13"/>
      <c r="G308" s="13"/>
      <c r="H308" s="13"/>
      <c r="I308" s="13"/>
      <c r="J308" s="13"/>
      <c r="K308" s="13"/>
      <c r="L308" s="13"/>
      <c r="M308" s="13"/>
      <c r="N308" s="13"/>
      <c r="O308" s="13" t="s">
        <v>85</v>
      </c>
    </row>
    <row r="309" customFormat="false" ht="15" hidden="false" customHeight="false" outlineLevel="0" collapsed="false">
      <c r="A309" s="13" t="s">
        <v>280</v>
      </c>
      <c r="B309" s="13" t="s">
        <v>170</v>
      </c>
      <c r="C309" s="13" t="s">
        <v>177</v>
      </c>
      <c r="D309" s="13" t="s">
        <v>178</v>
      </c>
      <c r="E309" s="13" t="s">
        <v>84</v>
      </c>
      <c r="F309" s="13"/>
      <c r="G309" s="13"/>
      <c r="H309" s="13"/>
      <c r="I309" s="13"/>
      <c r="J309" s="13"/>
      <c r="K309" s="13"/>
      <c r="L309" s="13"/>
      <c r="M309" s="13"/>
      <c r="N309" s="13"/>
      <c r="O309" s="13" t="s">
        <v>85</v>
      </c>
    </row>
    <row r="310" customFormat="false" ht="15" hidden="false" customHeight="false" outlineLevel="0" collapsed="false">
      <c r="A310" s="13" t="s">
        <v>280</v>
      </c>
      <c r="B310" s="13" t="s">
        <v>170</v>
      </c>
      <c r="C310" s="13" t="s">
        <v>179</v>
      </c>
      <c r="D310" s="13" t="s">
        <v>180</v>
      </c>
      <c r="E310" s="13" t="s">
        <v>84</v>
      </c>
      <c r="F310" s="13"/>
      <c r="G310" s="13"/>
      <c r="H310" s="13"/>
      <c r="I310" s="13"/>
      <c r="J310" s="13"/>
      <c r="K310" s="13"/>
      <c r="L310" s="13"/>
      <c r="M310" s="13"/>
      <c r="N310" s="13"/>
      <c r="O310" s="13" t="s">
        <v>85</v>
      </c>
    </row>
  </sheetData>
  <autoFilter ref="A1:O3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8C9EB"/>
    <pageSetUpPr fitToPage="true"/>
  </sheetPr>
  <dimension ref="A1:L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2" min="2" style="0" width="13"/>
  </cols>
  <sheetData>
    <row r="1" customFormat="false" ht="17.35" hidden="false" customHeight="false" outlineLevel="0" collapsed="false">
      <c r="A1" s="14" t="s">
        <v>281</v>
      </c>
    </row>
    <row r="2" customFormat="false" ht="15" hidden="false" customHeight="false" outlineLevel="0" collapsed="false">
      <c r="A2" s="15" t="s">
        <v>282</v>
      </c>
    </row>
    <row r="4" customFormat="false" ht="15" hidden="false" customHeight="false" outlineLevel="0" collapsed="false">
      <c r="A4" s="16" t="s">
        <v>66</v>
      </c>
      <c r="B4" s="16" t="s">
        <v>81</v>
      </c>
      <c r="C4" s="16" t="s">
        <v>96</v>
      </c>
      <c r="D4" s="16" t="s">
        <v>107</v>
      </c>
      <c r="E4" s="16" t="s">
        <v>116</v>
      </c>
      <c r="F4" s="16" t="s">
        <v>125</v>
      </c>
      <c r="G4" s="16" t="s">
        <v>134</v>
      </c>
      <c r="H4" s="16" t="s">
        <v>141</v>
      </c>
      <c r="I4" s="16" t="s">
        <v>152</v>
      </c>
      <c r="J4" s="16" t="s">
        <v>161</v>
      </c>
      <c r="K4" s="16" t="s">
        <v>170</v>
      </c>
      <c r="L4" s="16" t="s">
        <v>283</v>
      </c>
    </row>
    <row r="5" customFormat="false" ht="15" hidden="false" customHeight="false" outlineLevel="0" collapsed="false">
      <c r="A5" s="17" t="s">
        <v>80</v>
      </c>
      <c r="B5" s="18" t="n">
        <f aca="false">IFERROR(COUNTIFS(Notas!$A:$A,$A5,Notas!$B:$B,"Gobierno y S&amp;OP",Notas!$E:$E,"Alineado con el estándar")/(COUNTIFS(Notas!$A:$A,$A5,Notas!$B:$B,"Gobierno y S&amp;OP")-COUNTIFS(Notas!$A:$A,$A5,Notas!$B:$B,"Gobierno y S&amp;OP",Notas!$E:$E,"No aplica")),0)</f>
        <v>0</v>
      </c>
      <c r="C5" s="18" t="n">
        <f aca="false">IFERROR(COUNTIFS(Notas!$A:$A,$A5,Notas!$B:$B,"Dato maestro",Notas!$E:$E,"Alineado con el estándar")/(COUNTIFS(Notas!$A:$A,$A5,Notas!$B:$B,"Dato maestro")-COUNTIFS(Notas!$A:$A,$A5,Notas!$B:$B,"Dato maestro",Notas!$E:$E,"No aplica")),0)</f>
        <v>0</v>
      </c>
      <c r="D5" s="18" t="n">
        <f aca="false">IFERROR(COUNTIFS(Notas!$A:$A,$A5,Notas!$B:$B,"Demanda",Notas!$E:$E,"Alineado con el estándar")/(COUNTIFS(Notas!$A:$A,$A5,Notas!$B:$B,"Demanda")-COUNTIFS(Notas!$A:$A,$A5,Notas!$B:$B,"Demanda",Notas!$E:$E,"No aplica")),0)</f>
        <v>0</v>
      </c>
      <c r="E5" s="18" t="n">
        <f aca="false">IFERROR(COUNTIFS(Notas!$A:$A,$A5,Notas!$B:$B,"Cartera",Notas!$E:$E,"Alineado con el estándar")/(COUNTIFS(Notas!$A:$A,$A5,Notas!$B:$B,"Cartera")-COUNTIFS(Notas!$A:$A,$A5,Notas!$B:$B,"Cartera",Notas!$E:$E,"No aplica")),0)</f>
        <v>0</v>
      </c>
      <c r="F5" s="18" t="n">
        <f aca="false">IFERROR(COUNTIFS(Notas!$A:$A,$A5,Notas!$B:$B,"Necesidades",Notas!$E:$E,"Alineado con el estándar")/(COUNTIFS(Notas!$A:$A,$A5,Notas!$B:$B,"Necesidades")-COUNTIFS(Notas!$A:$A,$A5,Notas!$B:$B,"Necesidades",Notas!$E:$E,"No aplica")),0)</f>
        <v>0</v>
      </c>
      <c r="G5" s="18" t="n">
        <f aca="false">IFERROR(COUNTIFS(Notas!$A:$A,$A5,Notas!$B:$B,"Capacidad",Notas!$E:$E,"Alineado con el estándar")/(COUNTIFS(Notas!$A:$A,$A5,Notas!$B:$B,"Capacidad")-COUNTIFS(Notas!$A:$A,$A5,Notas!$B:$B,"Capacidad",Notas!$E:$E,"No aplica")),0)</f>
        <v>0</v>
      </c>
      <c r="H5" s="18" t="n">
        <f aca="false">IFERROR(COUNTIFS(Notas!$A:$A,$A5,Notas!$B:$B,"Programación",Notas!$E:$E,"Alineado con el estándar")/(COUNTIFS(Notas!$A:$A,$A5,Notas!$B:$B,"Programación")-COUNTIFS(Notas!$A:$A,$A5,Notas!$B:$B,"Programación",Notas!$E:$E,"No aplica")),0)</f>
        <v>0</v>
      </c>
      <c r="I5" s="18" t="n">
        <f aca="false">IFERROR(COUNTIFS(Notas!$A:$A,$A5,Notas!$B:$B,"Entrega",Notas!$E:$E,"Alineado con el estándar")/(COUNTIFS(Notas!$A:$A,$A5,Notas!$B:$B,"Entrega")-COUNTIFS(Notas!$A:$A,$A5,Notas!$B:$B,"Entrega",Notas!$E:$E,"No aplica")),0)</f>
        <v>0</v>
      </c>
      <c r="J5" s="18" t="n">
        <f aca="false">IFERROR(COUNTIFS(Notas!$A:$A,$A5,Notas!$B:$B,"Control",Notas!$E:$E,"Alineado con el estándar")/(COUNTIFS(Notas!$A:$A,$A5,Notas!$B:$B,"Control")-COUNTIFS(Notas!$A:$A,$A5,Notas!$B:$B,"Control",Notas!$E:$E,"No aplica")),0)</f>
        <v>0</v>
      </c>
      <c r="K5" s="18" t="n">
        <f aca="false">IFERROR(COUNTIFS(Notas!$A:$A,$A5,Notas!$B:$B,"Intercompany",Notas!$E:$E,"Alineado con el estándar")/(COUNTIFS(Notas!$A:$A,$A5,Notas!$B:$B,"Intercompany")-COUNTIFS(Notas!$A:$A,$A5,Notas!$B:$B,"Intercompany",Notas!$E:$E,"No aplica")),0)</f>
        <v>0</v>
      </c>
      <c r="L5" s="18" t="n">
        <f aca="false">IFERROR(COUNTIFS(Notas!$A:$A,$A5,Notas!$E:$E,"Alineado con el estándar")/(COUNTIFS(Notas!$A:$A,$A5)-COUNTIFS(Notas!$A:$A,$A5,Notas!$E:$E,"No aplica")),0)</f>
        <v>0</v>
      </c>
    </row>
    <row r="6" customFormat="false" ht="15" hidden="false" customHeight="false" outlineLevel="0" collapsed="false">
      <c r="A6" s="17" t="s">
        <v>181</v>
      </c>
      <c r="B6" s="18" t="n">
        <f aca="false">IFERROR(COUNTIFS(Notas!$A:$A,$A6,Notas!$B:$B,"Gobierno y S&amp;OP",Notas!$E:$E,"Alineado con el estándar")/(COUNTIFS(Notas!$A:$A,$A6,Notas!$B:$B,"Gobierno y S&amp;OP")-COUNTIFS(Notas!$A:$A,$A6,Notas!$B:$B,"Gobierno y S&amp;OP",Notas!$E:$E,"No aplica")),0)</f>
        <v>0</v>
      </c>
      <c r="C6" s="18" t="n">
        <f aca="false">IFERROR(COUNTIFS(Notas!$A:$A,$A6,Notas!$B:$B,"Dato maestro",Notas!$E:$E,"Alineado con el estándar")/(COUNTIFS(Notas!$A:$A,$A6,Notas!$B:$B,"Dato maestro")-COUNTIFS(Notas!$A:$A,$A6,Notas!$B:$B,"Dato maestro",Notas!$E:$E,"No aplica")),0)</f>
        <v>0</v>
      </c>
      <c r="D6" s="18" t="n">
        <f aca="false">IFERROR(COUNTIFS(Notas!$A:$A,$A6,Notas!$B:$B,"Demanda",Notas!$E:$E,"Alineado con el estándar")/(COUNTIFS(Notas!$A:$A,$A6,Notas!$B:$B,"Demanda")-COUNTIFS(Notas!$A:$A,$A6,Notas!$B:$B,"Demanda",Notas!$E:$E,"No aplica")),0)</f>
        <v>0</v>
      </c>
      <c r="E6" s="18" t="n">
        <f aca="false">IFERROR(COUNTIFS(Notas!$A:$A,$A6,Notas!$B:$B,"Cartera",Notas!$E:$E,"Alineado con el estándar")/(COUNTIFS(Notas!$A:$A,$A6,Notas!$B:$B,"Cartera")-COUNTIFS(Notas!$A:$A,$A6,Notas!$B:$B,"Cartera",Notas!$E:$E,"No aplica")),0)</f>
        <v>0</v>
      </c>
      <c r="F6" s="18" t="n">
        <f aca="false">IFERROR(COUNTIFS(Notas!$A:$A,$A6,Notas!$B:$B,"Necesidades",Notas!$E:$E,"Alineado con el estándar")/(COUNTIFS(Notas!$A:$A,$A6,Notas!$B:$B,"Necesidades")-COUNTIFS(Notas!$A:$A,$A6,Notas!$B:$B,"Necesidades",Notas!$E:$E,"No aplica")),0)</f>
        <v>0</v>
      </c>
      <c r="G6" s="18" t="n">
        <f aca="false">IFERROR(COUNTIFS(Notas!$A:$A,$A6,Notas!$B:$B,"Capacidad",Notas!$E:$E,"Alineado con el estándar")/(COUNTIFS(Notas!$A:$A,$A6,Notas!$B:$B,"Capacidad")-COUNTIFS(Notas!$A:$A,$A6,Notas!$B:$B,"Capacidad",Notas!$E:$E,"No aplica")),0)</f>
        <v>0</v>
      </c>
      <c r="H6" s="18" t="n">
        <f aca="false">IFERROR(COUNTIFS(Notas!$A:$A,$A6,Notas!$B:$B,"Programación",Notas!$E:$E,"Alineado con el estándar")/(COUNTIFS(Notas!$A:$A,$A6,Notas!$B:$B,"Programación")-COUNTIFS(Notas!$A:$A,$A6,Notas!$B:$B,"Programación",Notas!$E:$E,"No aplica")),0)</f>
        <v>0</v>
      </c>
      <c r="I6" s="18" t="n">
        <f aca="false">IFERROR(COUNTIFS(Notas!$A:$A,$A6,Notas!$B:$B,"Entrega",Notas!$E:$E,"Alineado con el estándar")/(COUNTIFS(Notas!$A:$A,$A6,Notas!$B:$B,"Entrega")-COUNTIFS(Notas!$A:$A,$A6,Notas!$B:$B,"Entrega",Notas!$E:$E,"No aplica")),0)</f>
        <v>0</v>
      </c>
      <c r="J6" s="18" t="n">
        <f aca="false">IFERROR(COUNTIFS(Notas!$A:$A,$A6,Notas!$B:$B,"Control",Notas!$E:$E,"Alineado con el estándar")/(COUNTIFS(Notas!$A:$A,$A6,Notas!$B:$B,"Control")-COUNTIFS(Notas!$A:$A,$A6,Notas!$B:$B,"Control",Notas!$E:$E,"No aplica")),0)</f>
        <v>0</v>
      </c>
      <c r="K6" s="18" t="n">
        <f aca="false">IFERROR(COUNTIFS(Notas!$A:$A,$A6,Notas!$B:$B,"Intercompany",Notas!$E:$E,"Alineado con el estándar")/(COUNTIFS(Notas!$A:$A,$A6,Notas!$B:$B,"Intercompany")-COUNTIFS(Notas!$A:$A,$A6,Notas!$B:$B,"Intercompany",Notas!$E:$E,"No aplica")),0)</f>
        <v>0</v>
      </c>
      <c r="L6" s="18" t="n">
        <f aca="false">IFERROR(COUNTIFS(Notas!$A:$A,$A6,Notas!$E:$E,"Alineado con el estándar")/(COUNTIFS(Notas!$A:$A,$A6)-COUNTIFS(Notas!$A:$A,$A6,Notas!$E:$E,"No aplica")),0)</f>
        <v>0</v>
      </c>
    </row>
    <row r="7" customFormat="false" ht="15" hidden="false" customHeight="false" outlineLevel="0" collapsed="false">
      <c r="A7" s="17" t="s">
        <v>276</v>
      </c>
      <c r="B7" s="18" t="n">
        <f aca="false">IFERROR(COUNTIFS(Notas!$A:$A,$A7,Notas!$B:$B,"Gobierno y S&amp;OP",Notas!$E:$E,"Alineado con el estándar")/(COUNTIFS(Notas!$A:$A,$A7,Notas!$B:$B,"Gobierno y S&amp;OP")-COUNTIFS(Notas!$A:$A,$A7,Notas!$B:$B,"Gobierno y S&amp;OP",Notas!$E:$E,"No aplica")),0)</f>
        <v>0</v>
      </c>
      <c r="C7" s="18" t="n">
        <f aca="false">IFERROR(COUNTIFS(Notas!$A:$A,$A7,Notas!$B:$B,"Dato maestro",Notas!$E:$E,"Alineado con el estándar")/(COUNTIFS(Notas!$A:$A,$A7,Notas!$B:$B,"Dato maestro")-COUNTIFS(Notas!$A:$A,$A7,Notas!$B:$B,"Dato maestro",Notas!$E:$E,"No aplica")),0)</f>
        <v>0</v>
      </c>
      <c r="D7" s="18" t="n">
        <f aca="false">IFERROR(COUNTIFS(Notas!$A:$A,$A7,Notas!$B:$B,"Demanda",Notas!$E:$E,"Alineado con el estándar")/(COUNTIFS(Notas!$A:$A,$A7,Notas!$B:$B,"Demanda")-COUNTIFS(Notas!$A:$A,$A7,Notas!$B:$B,"Demanda",Notas!$E:$E,"No aplica")),0)</f>
        <v>0</v>
      </c>
      <c r="E7" s="18" t="n">
        <f aca="false">IFERROR(COUNTIFS(Notas!$A:$A,$A7,Notas!$B:$B,"Cartera",Notas!$E:$E,"Alineado con el estándar")/(COUNTIFS(Notas!$A:$A,$A7,Notas!$B:$B,"Cartera")-COUNTIFS(Notas!$A:$A,$A7,Notas!$B:$B,"Cartera",Notas!$E:$E,"No aplica")),0)</f>
        <v>0</v>
      </c>
      <c r="F7" s="18" t="n">
        <f aca="false">IFERROR(COUNTIFS(Notas!$A:$A,$A7,Notas!$B:$B,"Necesidades",Notas!$E:$E,"Alineado con el estándar")/(COUNTIFS(Notas!$A:$A,$A7,Notas!$B:$B,"Necesidades")-COUNTIFS(Notas!$A:$A,$A7,Notas!$B:$B,"Necesidades",Notas!$E:$E,"No aplica")),0)</f>
        <v>0</v>
      </c>
      <c r="G7" s="18" t="n">
        <f aca="false">IFERROR(COUNTIFS(Notas!$A:$A,$A7,Notas!$B:$B,"Capacidad",Notas!$E:$E,"Alineado con el estándar")/(COUNTIFS(Notas!$A:$A,$A7,Notas!$B:$B,"Capacidad")-COUNTIFS(Notas!$A:$A,$A7,Notas!$B:$B,"Capacidad",Notas!$E:$E,"No aplica")),0)</f>
        <v>0</v>
      </c>
      <c r="H7" s="18" t="n">
        <f aca="false">IFERROR(COUNTIFS(Notas!$A:$A,$A7,Notas!$B:$B,"Programación",Notas!$E:$E,"Alineado con el estándar")/(COUNTIFS(Notas!$A:$A,$A7,Notas!$B:$B,"Programación")-COUNTIFS(Notas!$A:$A,$A7,Notas!$B:$B,"Programación",Notas!$E:$E,"No aplica")),0)</f>
        <v>0</v>
      </c>
      <c r="I7" s="18" t="n">
        <f aca="false">IFERROR(COUNTIFS(Notas!$A:$A,$A7,Notas!$B:$B,"Entrega",Notas!$E:$E,"Alineado con el estándar")/(COUNTIFS(Notas!$A:$A,$A7,Notas!$B:$B,"Entrega")-COUNTIFS(Notas!$A:$A,$A7,Notas!$B:$B,"Entrega",Notas!$E:$E,"No aplica")),0)</f>
        <v>0</v>
      </c>
      <c r="J7" s="18" t="n">
        <f aca="false">IFERROR(COUNTIFS(Notas!$A:$A,$A7,Notas!$B:$B,"Control",Notas!$E:$E,"Alineado con el estándar")/(COUNTIFS(Notas!$A:$A,$A7,Notas!$B:$B,"Control")-COUNTIFS(Notas!$A:$A,$A7,Notas!$B:$B,"Control",Notas!$E:$E,"No aplica")),0)</f>
        <v>0</v>
      </c>
      <c r="K7" s="18" t="n">
        <f aca="false">IFERROR(COUNTIFS(Notas!$A:$A,$A7,Notas!$B:$B,"Intercompany",Notas!$E:$E,"Alineado con el estándar")/(COUNTIFS(Notas!$A:$A,$A7,Notas!$B:$B,"Intercompany")-COUNTIFS(Notas!$A:$A,$A7,Notas!$B:$B,"Intercompany",Notas!$E:$E,"No aplica")),0)</f>
        <v>0</v>
      </c>
      <c r="L7" s="18" t="n">
        <f aca="false">IFERROR(COUNTIFS(Notas!$A:$A,$A7,Notas!$E:$E,"Alineado con el estándar")/(COUNTIFS(Notas!$A:$A,$A7)-COUNTIFS(Notas!$A:$A,$A7,Notas!$E:$E,"No aplica")),0)</f>
        <v>0</v>
      </c>
    </row>
    <row r="8" customFormat="false" ht="15" hidden="false" customHeight="false" outlineLevel="0" collapsed="false">
      <c r="A8" s="17" t="s">
        <v>277</v>
      </c>
      <c r="B8" s="18" t="n">
        <f aca="false">IFERROR(COUNTIFS(Notas!$A:$A,$A8,Notas!$B:$B,"Gobierno y S&amp;OP",Notas!$E:$E,"Alineado con el estándar")/(COUNTIFS(Notas!$A:$A,$A8,Notas!$B:$B,"Gobierno y S&amp;OP")-COUNTIFS(Notas!$A:$A,$A8,Notas!$B:$B,"Gobierno y S&amp;OP",Notas!$E:$E,"No aplica")),0)</f>
        <v>0</v>
      </c>
      <c r="C8" s="18" t="n">
        <f aca="false">IFERROR(COUNTIFS(Notas!$A:$A,$A8,Notas!$B:$B,"Dato maestro",Notas!$E:$E,"Alineado con el estándar")/(COUNTIFS(Notas!$A:$A,$A8,Notas!$B:$B,"Dato maestro")-COUNTIFS(Notas!$A:$A,$A8,Notas!$B:$B,"Dato maestro",Notas!$E:$E,"No aplica")),0)</f>
        <v>0</v>
      </c>
      <c r="D8" s="18" t="n">
        <f aca="false">IFERROR(COUNTIFS(Notas!$A:$A,$A8,Notas!$B:$B,"Demanda",Notas!$E:$E,"Alineado con el estándar")/(COUNTIFS(Notas!$A:$A,$A8,Notas!$B:$B,"Demanda")-COUNTIFS(Notas!$A:$A,$A8,Notas!$B:$B,"Demanda",Notas!$E:$E,"No aplica")),0)</f>
        <v>0</v>
      </c>
      <c r="E8" s="18" t="n">
        <f aca="false">IFERROR(COUNTIFS(Notas!$A:$A,$A8,Notas!$B:$B,"Cartera",Notas!$E:$E,"Alineado con el estándar")/(COUNTIFS(Notas!$A:$A,$A8,Notas!$B:$B,"Cartera")-COUNTIFS(Notas!$A:$A,$A8,Notas!$B:$B,"Cartera",Notas!$E:$E,"No aplica")),0)</f>
        <v>0</v>
      </c>
      <c r="F8" s="18" t="n">
        <f aca="false">IFERROR(COUNTIFS(Notas!$A:$A,$A8,Notas!$B:$B,"Necesidades",Notas!$E:$E,"Alineado con el estándar")/(COUNTIFS(Notas!$A:$A,$A8,Notas!$B:$B,"Necesidades")-COUNTIFS(Notas!$A:$A,$A8,Notas!$B:$B,"Necesidades",Notas!$E:$E,"No aplica")),0)</f>
        <v>0</v>
      </c>
      <c r="G8" s="18" t="n">
        <f aca="false">IFERROR(COUNTIFS(Notas!$A:$A,$A8,Notas!$B:$B,"Capacidad",Notas!$E:$E,"Alineado con el estándar")/(COUNTIFS(Notas!$A:$A,$A8,Notas!$B:$B,"Capacidad")-COUNTIFS(Notas!$A:$A,$A8,Notas!$B:$B,"Capacidad",Notas!$E:$E,"No aplica")),0)</f>
        <v>0</v>
      </c>
      <c r="H8" s="18" t="n">
        <f aca="false">IFERROR(COUNTIFS(Notas!$A:$A,$A8,Notas!$B:$B,"Programación",Notas!$E:$E,"Alineado con el estándar")/(COUNTIFS(Notas!$A:$A,$A8,Notas!$B:$B,"Programación")-COUNTIFS(Notas!$A:$A,$A8,Notas!$B:$B,"Programación",Notas!$E:$E,"No aplica")),0)</f>
        <v>0</v>
      </c>
      <c r="I8" s="18" t="n">
        <f aca="false">IFERROR(COUNTIFS(Notas!$A:$A,$A8,Notas!$B:$B,"Entrega",Notas!$E:$E,"Alineado con el estándar")/(COUNTIFS(Notas!$A:$A,$A8,Notas!$B:$B,"Entrega")-COUNTIFS(Notas!$A:$A,$A8,Notas!$B:$B,"Entrega",Notas!$E:$E,"No aplica")),0)</f>
        <v>0</v>
      </c>
      <c r="J8" s="18" t="n">
        <f aca="false">IFERROR(COUNTIFS(Notas!$A:$A,$A8,Notas!$B:$B,"Control",Notas!$E:$E,"Alineado con el estándar")/(COUNTIFS(Notas!$A:$A,$A8,Notas!$B:$B,"Control")-COUNTIFS(Notas!$A:$A,$A8,Notas!$B:$B,"Control",Notas!$E:$E,"No aplica")),0)</f>
        <v>0</v>
      </c>
      <c r="K8" s="18" t="n">
        <f aca="false">IFERROR(COUNTIFS(Notas!$A:$A,$A8,Notas!$B:$B,"Intercompany",Notas!$E:$E,"Alineado con el estándar")/(COUNTIFS(Notas!$A:$A,$A8,Notas!$B:$B,"Intercompany")-COUNTIFS(Notas!$A:$A,$A8,Notas!$B:$B,"Intercompany",Notas!$E:$E,"No aplica")),0)</f>
        <v>0</v>
      </c>
      <c r="L8" s="18" t="n">
        <f aca="false">IFERROR(COUNTIFS(Notas!$A:$A,$A8,Notas!$E:$E,"Alineado con el estándar")/(COUNTIFS(Notas!$A:$A,$A8)-COUNTIFS(Notas!$A:$A,$A8,Notas!$E:$E,"No aplica")),0)</f>
        <v>0</v>
      </c>
    </row>
    <row r="9" customFormat="false" ht="15" hidden="false" customHeight="false" outlineLevel="0" collapsed="false">
      <c r="A9" s="17" t="s">
        <v>278</v>
      </c>
      <c r="B9" s="18" t="n">
        <f aca="false">IFERROR(COUNTIFS(Notas!$A:$A,$A9,Notas!$B:$B,"Gobierno y S&amp;OP",Notas!$E:$E,"Alineado con el estándar")/(COUNTIFS(Notas!$A:$A,$A9,Notas!$B:$B,"Gobierno y S&amp;OP")-COUNTIFS(Notas!$A:$A,$A9,Notas!$B:$B,"Gobierno y S&amp;OP",Notas!$E:$E,"No aplica")),0)</f>
        <v>0</v>
      </c>
      <c r="C9" s="18" t="n">
        <f aca="false">IFERROR(COUNTIFS(Notas!$A:$A,$A9,Notas!$B:$B,"Dato maestro",Notas!$E:$E,"Alineado con el estándar")/(COUNTIFS(Notas!$A:$A,$A9,Notas!$B:$B,"Dato maestro")-COUNTIFS(Notas!$A:$A,$A9,Notas!$B:$B,"Dato maestro",Notas!$E:$E,"No aplica")),0)</f>
        <v>0</v>
      </c>
      <c r="D9" s="18" t="n">
        <f aca="false">IFERROR(COUNTIFS(Notas!$A:$A,$A9,Notas!$B:$B,"Demanda",Notas!$E:$E,"Alineado con el estándar")/(COUNTIFS(Notas!$A:$A,$A9,Notas!$B:$B,"Demanda")-COUNTIFS(Notas!$A:$A,$A9,Notas!$B:$B,"Demanda",Notas!$E:$E,"No aplica")),0)</f>
        <v>0</v>
      </c>
      <c r="E9" s="18" t="n">
        <f aca="false">IFERROR(COUNTIFS(Notas!$A:$A,$A9,Notas!$B:$B,"Cartera",Notas!$E:$E,"Alineado con el estándar")/(COUNTIFS(Notas!$A:$A,$A9,Notas!$B:$B,"Cartera")-COUNTIFS(Notas!$A:$A,$A9,Notas!$B:$B,"Cartera",Notas!$E:$E,"No aplica")),0)</f>
        <v>0</v>
      </c>
      <c r="F9" s="18" t="n">
        <f aca="false">IFERROR(COUNTIFS(Notas!$A:$A,$A9,Notas!$B:$B,"Necesidades",Notas!$E:$E,"Alineado con el estándar")/(COUNTIFS(Notas!$A:$A,$A9,Notas!$B:$B,"Necesidades")-COUNTIFS(Notas!$A:$A,$A9,Notas!$B:$B,"Necesidades",Notas!$E:$E,"No aplica")),0)</f>
        <v>0</v>
      </c>
      <c r="G9" s="18" t="n">
        <f aca="false">IFERROR(COUNTIFS(Notas!$A:$A,$A9,Notas!$B:$B,"Capacidad",Notas!$E:$E,"Alineado con el estándar")/(COUNTIFS(Notas!$A:$A,$A9,Notas!$B:$B,"Capacidad")-COUNTIFS(Notas!$A:$A,$A9,Notas!$B:$B,"Capacidad",Notas!$E:$E,"No aplica")),0)</f>
        <v>0</v>
      </c>
      <c r="H9" s="18" t="n">
        <f aca="false">IFERROR(COUNTIFS(Notas!$A:$A,$A9,Notas!$B:$B,"Programación",Notas!$E:$E,"Alineado con el estándar")/(COUNTIFS(Notas!$A:$A,$A9,Notas!$B:$B,"Programación")-COUNTIFS(Notas!$A:$A,$A9,Notas!$B:$B,"Programación",Notas!$E:$E,"No aplica")),0)</f>
        <v>0</v>
      </c>
      <c r="I9" s="18" t="n">
        <f aca="false">IFERROR(COUNTIFS(Notas!$A:$A,$A9,Notas!$B:$B,"Entrega",Notas!$E:$E,"Alineado con el estándar")/(COUNTIFS(Notas!$A:$A,$A9,Notas!$B:$B,"Entrega")-COUNTIFS(Notas!$A:$A,$A9,Notas!$B:$B,"Entrega",Notas!$E:$E,"No aplica")),0)</f>
        <v>0</v>
      </c>
      <c r="J9" s="18" t="n">
        <f aca="false">IFERROR(COUNTIFS(Notas!$A:$A,$A9,Notas!$B:$B,"Control",Notas!$E:$E,"Alineado con el estándar")/(COUNTIFS(Notas!$A:$A,$A9,Notas!$B:$B,"Control")-COUNTIFS(Notas!$A:$A,$A9,Notas!$B:$B,"Control",Notas!$E:$E,"No aplica")),0)</f>
        <v>0</v>
      </c>
      <c r="K9" s="18" t="n">
        <f aca="false">IFERROR(COUNTIFS(Notas!$A:$A,$A9,Notas!$B:$B,"Intercompany",Notas!$E:$E,"Alineado con el estándar")/(COUNTIFS(Notas!$A:$A,$A9,Notas!$B:$B,"Intercompany")-COUNTIFS(Notas!$A:$A,$A9,Notas!$B:$B,"Intercompany",Notas!$E:$E,"No aplica")),0)</f>
        <v>0</v>
      </c>
      <c r="L9" s="18" t="n">
        <f aca="false">IFERROR(COUNTIFS(Notas!$A:$A,$A9,Notas!$E:$E,"Alineado con el estándar")/(COUNTIFS(Notas!$A:$A,$A9)-COUNTIFS(Notas!$A:$A,$A9,Notas!$E:$E,"No aplica")),0)</f>
        <v>0</v>
      </c>
    </row>
    <row r="10" customFormat="false" ht="15" hidden="false" customHeight="false" outlineLevel="0" collapsed="false">
      <c r="A10" s="17" t="s">
        <v>279</v>
      </c>
      <c r="B10" s="18" t="n">
        <f aca="false">IFERROR(COUNTIFS(Notas!$A:$A,$A10,Notas!$B:$B,"Gobierno y S&amp;OP",Notas!$E:$E,"Alineado con el estándar")/(COUNTIFS(Notas!$A:$A,$A10,Notas!$B:$B,"Gobierno y S&amp;OP")-COUNTIFS(Notas!$A:$A,$A10,Notas!$B:$B,"Gobierno y S&amp;OP",Notas!$E:$E,"No aplica")),0)</f>
        <v>0</v>
      </c>
      <c r="C10" s="18" t="n">
        <f aca="false">IFERROR(COUNTIFS(Notas!$A:$A,$A10,Notas!$B:$B,"Dato maestro",Notas!$E:$E,"Alineado con el estándar")/(COUNTIFS(Notas!$A:$A,$A10,Notas!$B:$B,"Dato maestro")-COUNTIFS(Notas!$A:$A,$A10,Notas!$B:$B,"Dato maestro",Notas!$E:$E,"No aplica")),0)</f>
        <v>0</v>
      </c>
      <c r="D10" s="18" t="n">
        <f aca="false">IFERROR(COUNTIFS(Notas!$A:$A,$A10,Notas!$B:$B,"Demanda",Notas!$E:$E,"Alineado con el estándar")/(COUNTIFS(Notas!$A:$A,$A10,Notas!$B:$B,"Demanda")-COUNTIFS(Notas!$A:$A,$A10,Notas!$B:$B,"Demanda",Notas!$E:$E,"No aplica")),0)</f>
        <v>0</v>
      </c>
      <c r="E10" s="18" t="n">
        <f aca="false">IFERROR(COUNTIFS(Notas!$A:$A,$A10,Notas!$B:$B,"Cartera",Notas!$E:$E,"Alineado con el estándar")/(COUNTIFS(Notas!$A:$A,$A10,Notas!$B:$B,"Cartera")-COUNTIFS(Notas!$A:$A,$A10,Notas!$B:$B,"Cartera",Notas!$E:$E,"No aplica")),0)</f>
        <v>0</v>
      </c>
      <c r="F10" s="18" t="n">
        <f aca="false">IFERROR(COUNTIFS(Notas!$A:$A,$A10,Notas!$B:$B,"Necesidades",Notas!$E:$E,"Alineado con el estándar")/(COUNTIFS(Notas!$A:$A,$A10,Notas!$B:$B,"Necesidades")-COUNTIFS(Notas!$A:$A,$A10,Notas!$B:$B,"Necesidades",Notas!$E:$E,"No aplica")),0)</f>
        <v>0</v>
      </c>
      <c r="G10" s="18" t="n">
        <f aca="false">IFERROR(COUNTIFS(Notas!$A:$A,$A10,Notas!$B:$B,"Capacidad",Notas!$E:$E,"Alineado con el estándar")/(COUNTIFS(Notas!$A:$A,$A10,Notas!$B:$B,"Capacidad")-COUNTIFS(Notas!$A:$A,$A10,Notas!$B:$B,"Capacidad",Notas!$E:$E,"No aplica")),0)</f>
        <v>0</v>
      </c>
      <c r="H10" s="18" t="n">
        <f aca="false">IFERROR(COUNTIFS(Notas!$A:$A,$A10,Notas!$B:$B,"Programación",Notas!$E:$E,"Alineado con el estándar")/(COUNTIFS(Notas!$A:$A,$A10,Notas!$B:$B,"Programación")-COUNTIFS(Notas!$A:$A,$A10,Notas!$B:$B,"Programación",Notas!$E:$E,"No aplica")),0)</f>
        <v>0</v>
      </c>
      <c r="I10" s="18" t="n">
        <f aca="false">IFERROR(COUNTIFS(Notas!$A:$A,$A10,Notas!$B:$B,"Entrega",Notas!$E:$E,"Alineado con el estándar")/(COUNTIFS(Notas!$A:$A,$A10,Notas!$B:$B,"Entrega")-COUNTIFS(Notas!$A:$A,$A10,Notas!$B:$B,"Entrega",Notas!$E:$E,"No aplica")),0)</f>
        <v>0</v>
      </c>
      <c r="J10" s="18" t="n">
        <f aca="false">IFERROR(COUNTIFS(Notas!$A:$A,$A10,Notas!$B:$B,"Control",Notas!$E:$E,"Alineado con el estándar")/(COUNTIFS(Notas!$A:$A,$A10,Notas!$B:$B,"Control")-COUNTIFS(Notas!$A:$A,$A10,Notas!$B:$B,"Control",Notas!$E:$E,"No aplica")),0)</f>
        <v>0</v>
      </c>
      <c r="K10" s="18" t="n">
        <f aca="false">IFERROR(COUNTIFS(Notas!$A:$A,$A10,Notas!$B:$B,"Intercompany",Notas!$E:$E,"Alineado con el estándar")/(COUNTIFS(Notas!$A:$A,$A10,Notas!$B:$B,"Intercompany")-COUNTIFS(Notas!$A:$A,$A10,Notas!$B:$B,"Intercompany",Notas!$E:$E,"No aplica")),0)</f>
        <v>0</v>
      </c>
      <c r="L10" s="18" t="n">
        <f aca="false">IFERROR(COUNTIFS(Notas!$A:$A,$A10,Notas!$E:$E,"Alineado con el estándar")/(COUNTIFS(Notas!$A:$A,$A10)-COUNTIFS(Notas!$A:$A,$A10,Notas!$E:$E,"No aplica")),0)</f>
        <v>0</v>
      </c>
    </row>
    <row r="11" customFormat="false" ht="15" hidden="false" customHeight="false" outlineLevel="0" collapsed="false">
      <c r="A11" s="17" t="s">
        <v>280</v>
      </c>
      <c r="B11" s="18" t="n">
        <f aca="false">IFERROR(COUNTIFS(Notas!$A:$A,$A11,Notas!$B:$B,"Gobierno y S&amp;OP",Notas!$E:$E,"Alineado con el estándar")/(COUNTIFS(Notas!$A:$A,$A11,Notas!$B:$B,"Gobierno y S&amp;OP")-COUNTIFS(Notas!$A:$A,$A11,Notas!$B:$B,"Gobierno y S&amp;OP",Notas!$E:$E,"No aplica")),0)</f>
        <v>0</v>
      </c>
      <c r="C11" s="18" t="n">
        <f aca="false">IFERROR(COUNTIFS(Notas!$A:$A,$A11,Notas!$B:$B,"Dato maestro",Notas!$E:$E,"Alineado con el estándar")/(COUNTIFS(Notas!$A:$A,$A11,Notas!$B:$B,"Dato maestro")-COUNTIFS(Notas!$A:$A,$A11,Notas!$B:$B,"Dato maestro",Notas!$E:$E,"No aplica")),0)</f>
        <v>0</v>
      </c>
      <c r="D11" s="18" t="n">
        <f aca="false">IFERROR(COUNTIFS(Notas!$A:$A,$A11,Notas!$B:$B,"Demanda",Notas!$E:$E,"Alineado con el estándar")/(COUNTIFS(Notas!$A:$A,$A11,Notas!$B:$B,"Demanda")-COUNTIFS(Notas!$A:$A,$A11,Notas!$B:$B,"Demanda",Notas!$E:$E,"No aplica")),0)</f>
        <v>0</v>
      </c>
      <c r="E11" s="18" t="n">
        <f aca="false">IFERROR(COUNTIFS(Notas!$A:$A,$A11,Notas!$B:$B,"Cartera",Notas!$E:$E,"Alineado con el estándar")/(COUNTIFS(Notas!$A:$A,$A11,Notas!$B:$B,"Cartera")-COUNTIFS(Notas!$A:$A,$A11,Notas!$B:$B,"Cartera",Notas!$E:$E,"No aplica")),0)</f>
        <v>0</v>
      </c>
      <c r="F11" s="18" t="n">
        <f aca="false">IFERROR(COUNTIFS(Notas!$A:$A,$A11,Notas!$B:$B,"Necesidades",Notas!$E:$E,"Alineado con el estándar")/(COUNTIFS(Notas!$A:$A,$A11,Notas!$B:$B,"Necesidades")-COUNTIFS(Notas!$A:$A,$A11,Notas!$B:$B,"Necesidades",Notas!$E:$E,"No aplica")),0)</f>
        <v>0</v>
      </c>
      <c r="G11" s="18" t="n">
        <f aca="false">IFERROR(COUNTIFS(Notas!$A:$A,$A11,Notas!$B:$B,"Capacidad",Notas!$E:$E,"Alineado con el estándar")/(COUNTIFS(Notas!$A:$A,$A11,Notas!$B:$B,"Capacidad")-COUNTIFS(Notas!$A:$A,$A11,Notas!$B:$B,"Capacidad",Notas!$E:$E,"No aplica")),0)</f>
        <v>0</v>
      </c>
      <c r="H11" s="18" t="n">
        <f aca="false">IFERROR(COUNTIFS(Notas!$A:$A,$A11,Notas!$B:$B,"Programación",Notas!$E:$E,"Alineado con el estándar")/(COUNTIFS(Notas!$A:$A,$A11,Notas!$B:$B,"Programación")-COUNTIFS(Notas!$A:$A,$A11,Notas!$B:$B,"Programación",Notas!$E:$E,"No aplica")),0)</f>
        <v>0</v>
      </c>
      <c r="I11" s="18" t="n">
        <f aca="false">IFERROR(COUNTIFS(Notas!$A:$A,$A11,Notas!$B:$B,"Entrega",Notas!$E:$E,"Alineado con el estándar")/(COUNTIFS(Notas!$A:$A,$A11,Notas!$B:$B,"Entrega")-COUNTIFS(Notas!$A:$A,$A11,Notas!$B:$B,"Entrega",Notas!$E:$E,"No aplica")),0)</f>
        <v>0</v>
      </c>
      <c r="J11" s="18" t="n">
        <f aca="false">IFERROR(COUNTIFS(Notas!$A:$A,$A11,Notas!$B:$B,"Control",Notas!$E:$E,"Alineado con el estándar")/(COUNTIFS(Notas!$A:$A,$A11,Notas!$B:$B,"Control")-COUNTIFS(Notas!$A:$A,$A11,Notas!$B:$B,"Control",Notas!$E:$E,"No aplica")),0)</f>
        <v>0</v>
      </c>
      <c r="K11" s="18" t="n">
        <f aca="false">IFERROR(COUNTIFS(Notas!$A:$A,$A11,Notas!$B:$B,"Intercompany",Notas!$E:$E,"Alineado con el estándar")/(COUNTIFS(Notas!$A:$A,$A11,Notas!$B:$B,"Intercompany")-COUNTIFS(Notas!$A:$A,$A11,Notas!$B:$B,"Intercompany",Notas!$E:$E,"No aplica")),0)</f>
        <v>0</v>
      </c>
      <c r="L11" s="18" t="n">
        <f aca="false">IFERROR(COUNTIFS(Notas!$A:$A,$A11,Notas!$E:$E,"Alineado con el estándar")/(COUNTIFS(Notas!$A:$A,$A11)-COUNTIFS(Notas!$A:$A,$A11,Notas!$E:$E,"No aplica")),0)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8C9EB"/>
    <pageSetUpPr fitToPage="true"/>
  </sheetPr>
  <dimension ref="A1:G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7"/>
    <col collapsed="false" customWidth="true" hidden="false" outlineLevel="0" max="3" min="3" style="0" width="38"/>
    <col collapsed="false" customWidth="true" hidden="false" outlineLevel="0" max="4" min="4" style="0" width="60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7" min="7" style="0" width="40"/>
  </cols>
  <sheetData>
    <row r="1" customFormat="false" ht="23.85" hidden="false" customHeight="false" outlineLevel="0" collapsed="false">
      <c r="A1" s="9" t="s">
        <v>67</v>
      </c>
      <c r="B1" s="9" t="s">
        <v>68</v>
      </c>
      <c r="C1" s="9" t="s">
        <v>69</v>
      </c>
      <c r="D1" s="9" t="s">
        <v>284</v>
      </c>
      <c r="E1" s="9" t="s">
        <v>285</v>
      </c>
      <c r="F1" s="9" t="s">
        <v>286</v>
      </c>
      <c r="G1" s="9" t="s">
        <v>287</v>
      </c>
    </row>
    <row r="2" customFormat="false" ht="15" hidden="false" customHeight="false" outlineLevel="0" collapsed="false">
      <c r="A2" s="13" t="s">
        <v>81</v>
      </c>
      <c r="B2" s="13" t="s">
        <v>82</v>
      </c>
      <c r="C2" s="13" t="s">
        <v>83</v>
      </c>
      <c r="D2" s="13" t="s">
        <v>288</v>
      </c>
      <c r="E2" s="13" t="s">
        <v>289</v>
      </c>
      <c r="F2" s="13" t="s">
        <v>290</v>
      </c>
      <c r="G2" s="13" t="s">
        <v>291</v>
      </c>
    </row>
    <row r="3" customFormat="false" ht="15" hidden="false" customHeight="false" outlineLevel="0" collapsed="false">
      <c r="A3" s="13" t="s">
        <v>81</v>
      </c>
      <c r="B3" s="13" t="s">
        <v>86</v>
      </c>
      <c r="C3" s="13" t="s">
        <v>87</v>
      </c>
      <c r="D3" s="13" t="s">
        <v>292</v>
      </c>
      <c r="E3" s="13" t="s">
        <v>293</v>
      </c>
      <c r="F3" s="13" t="s">
        <v>290</v>
      </c>
      <c r="G3" s="13" t="s">
        <v>291</v>
      </c>
    </row>
    <row r="4" customFormat="false" ht="15" hidden="false" customHeight="false" outlineLevel="0" collapsed="false">
      <c r="A4" s="13" t="s">
        <v>81</v>
      </c>
      <c r="B4" s="13" t="s">
        <v>88</v>
      </c>
      <c r="C4" s="13" t="s">
        <v>89</v>
      </c>
      <c r="D4" s="13" t="s">
        <v>294</v>
      </c>
      <c r="E4" s="13" t="s">
        <v>295</v>
      </c>
      <c r="F4" s="13" t="s">
        <v>290</v>
      </c>
      <c r="G4" s="13" t="s">
        <v>296</v>
      </c>
    </row>
    <row r="5" customFormat="false" ht="15" hidden="false" customHeight="false" outlineLevel="0" collapsed="false">
      <c r="A5" s="13" t="s">
        <v>81</v>
      </c>
      <c r="B5" s="13" t="s">
        <v>90</v>
      </c>
      <c r="C5" s="13" t="s">
        <v>91</v>
      </c>
      <c r="D5" s="13" t="s">
        <v>297</v>
      </c>
      <c r="E5" s="13" t="s">
        <v>295</v>
      </c>
      <c r="F5" s="13" t="s">
        <v>290</v>
      </c>
      <c r="G5" s="13" t="s">
        <v>291</v>
      </c>
    </row>
    <row r="6" customFormat="false" ht="15" hidden="false" customHeight="false" outlineLevel="0" collapsed="false">
      <c r="A6" s="13" t="s">
        <v>81</v>
      </c>
      <c r="B6" s="13" t="s">
        <v>92</v>
      </c>
      <c r="C6" s="13" t="s">
        <v>93</v>
      </c>
      <c r="D6" s="13" t="s">
        <v>298</v>
      </c>
      <c r="E6" s="13" t="s">
        <v>293</v>
      </c>
      <c r="F6" s="13" t="s">
        <v>290</v>
      </c>
      <c r="G6" s="13" t="s">
        <v>291</v>
      </c>
    </row>
    <row r="7" customFormat="false" ht="23.85" hidden="false" customHeight="false" outlineLevel="0" collapsed="false">
      <c r="A7" s="13" t="s">
        <v>81</v>
      </c>
      <c r="B7" s="13" t="s">
        <v>94</v>
      </c>
      <c r="C7" s="13" t="s">
        <v>95</v>
      </c>
      <c r="D7" s="13" t="s">
        <v>299</v>
      </c>
      <c r="E7" s="13" t="s">
        <v>257</v>
      </c>
      <c r="F7" s="13" t="s">
        <v>290</v>
      </c>
      <c r="G7" s="13" t="s">
        <v>300</v>
      </c>
    </row>
    <row r="8" customFormat="false" ht="23.85" hidden="false" customHeight="false" outlineLevel="0" collapsed="false">
      <c r="A8" s="13" t="s">
        <v>96</v>
      </c>
      <c r="B8" s="13" t="s">
        <v>97</v>
      </c>
      <c r="C8" s="13" t="s">
        <v>98</v>
      </c>
      <c r="D8" s="13" t="s">
        <v>301</v>
      </c>
      <c r="E8" s="13" t="s">
        <v>238</v>
      </c>
      <c r="F8" s="13" t="s">
        <v>302</v>
      </c>
      <c r="G8" s="13" t="s">
        <v>302</v>
      </c>
    </row>
    <row r="9" customFormat="false" ht="15" hidden="false" customHeight="false" outlineLevel="0" collapsed="false">
      <c r="A9" s="13" t="s">
        <v>96</v>
      </c>
      <c r="B9" s="13" t="s">
        <v>99</v>
      </c>
      <c r="C9" s="13" t="s">
        <v>100</v>
      </c>
      <c r="D9" s="13" t="s">
        <v>303</v>
      </c>
      <c r="E9" s="13" t="s">
        <v>293</v>
      </c>
      <c r="F9" s="13" t="s">
        <v>291</v>
      </c>
      <c r="G9" s="13" t="s">
        <v>302</v>
      </c>
    </row>
    <row r="10" customFormat="false" ht="15" hidden="false" customHeight="false" outlineLevel="0" collapsed="false">
      <c r="A10" s="13" t="s">
        <v>96</v>
      </c>
      <c r="B10" s="13" t="s">
        <v>101</v>
      </c>
      <c r="C10" s="13" t="s">
        <v>102</v>
      </c>
      <c r="D10" s="13" t="s">
        <v>304</v>
      </c>
      <c r="E10" s="13" t="s">
        <v>295</v>
      </c>
      <c r="F10" s="13" t="s">
        <v>302</v>
      </c>
      <c r="G10" s="13" t="s">
        <v>305</v>
      </c>
    </row>
    <row r="11" customFormat="false" ht="15" hidden="false" customHeight="false" outlineLevel="0" collapsed="false">
      <c r="A11" s="13" t="s">
        <v>96</v>
      </c>
      <c r="B11" s="13" t="s">
        <v>103</v>
      </c>
      <c r="C11" s="13" t="s">
        <v>104</v>
      </c>
      <c r="D11" s="13" t="s">
        <v>306</v>
      </c>
      <c r="E11" s="13" t="s">
        <v>257</v>
      </c>
      <c r="F11" s="13" t="s">
        <v>307</v>
      </c>
      <c r="G11" s="13" t="s">
        <v>308</v>
      </c>
    </row>
    <row r="12" customFormat="false" ht="15" hidden="false" customHeight="false" outlineLevel="0" collapsed="false">
      <c r="A12" s="13" t="s">
        <v>96</v>
      </c>
      <c r="B12" s="13" t="s">
        <v>105</v>
      </c>
      <c r="C12" s="13" t="s">
        <v>106</v>
      </c>
      <c r="D12" s="13" t="s">
        <v>309</v>
      </c>
      <c r="E12" s="13" t="s">
        <v>295</v>
      </c>
      <c r="F12" s="13" t="s">
        <v>291</v>
      </c>
      <c r="G12" s="13" t="s">
        <v>302</v>
      </c>
    </row>
    <row r="13" customFormat="false" ht="15" hidden="false" customHeight="false" outlineLevel="0" collapsed="false">
      <c r="A13" s="13" t="s">
        <v>107</v>
      </c>
      <c r="B13" s="13" t="s">
        <v>108</v>
      </c>
      <c r="C13" s="13" t="s">
        <v>109</v>
      </c>
      <c r="D13" s="13" t="s">
        <v>310</v>
      </c>
      <c r="E13" s="13" t="s">
        <v>295</v>
      </c>
      <c r="F13" s="13" t="s">
        <v>307</v>
      </c>
      <c r="G13" s="13" t="s">
        <v>311</v>
      </c>
    </row>
    <row r="14" customFormat="false" ht="15" hidden="false" customHeight="false" outlineLevel="0" collapsed="false">
      <c r="A14" s="13" t="s">
        <v>107</v>
      </c>
      <c r="B14" s="13" t="s">
        <v>110</v>
      </c>
      <c r="C14" s="13" t="s">
        <v>111</v>
      </c>
      <c r="D14" s="13" t="s">
        <v>312</v>
      </c>
      <c r="E14" s="13" t="s">
        <v>295</v>
      </c>
      <c r="F14" s="13" t="s">
        <v>296</v>
      </c>
      <c r="G14" s="13" t="s">
        <v>311</v>
      </c>
    </row>
    <row r="15" customFormat="false" ht="15" hidden="false" customHeight="false" outlineLevel="0" collapsed="false">
      <c r="A15" s="13" t="s">
        <v>107</v>
      </c>
      <c r="B15" s="13" t="s">
        <v>112</v>
      </c>
      <c r="C15" s="13" t="s">
        <v>113</v>
      </c>
      <c r="D15" s="13" t="s">
        <v>313</v>
      </c>
      <c r="E15" s="13" t="s">
        <v>238</v>
      </c>
      <c r="F15" s="13" t="s">
        <v>307</v>
      </c>
      <c r="G15" s="13" t="s">
        <v>311</v>
      </c>
    </row>
    <row r="16" customFormat="false" ht="15" hidden="false" customHeight="false" outlineLevel="0" collapsed="false">
      <c r="A16" s="13" t="s">
        <v>107</v>
      </c>
      <c r="B16" s="13" t="s">
        <v>114</v>
      </c>
      <c r="C16" s="13" t="s">
        <v>115</v>
      </c>
      <c r="D16" s="13" t="s">
        <v>314</v>
      </c>
      <c r="E16" s="13" t="s">
        <v>295</v>
      </c>
      <c r="F16" s="13" t="s">
        <v>296</v>
      </c>
      <c r="G16" s="13" t="s">
        <v>311</v>
      </c>
    </row>
    <row r="17" customFormat="false" ht="15" hidden="false" customHeight="false" outlineLevel="0" collapsed="false">
      <c r="A17" s="13" t="s">
        <v>116</v>
      </c>
      <c r="B17" s="13" t="s">
        <v>117</v>
      </c>
      <c r="C17" s="13" t="s">
        <v>118</v>
      </c>
      <c r="D17" s="13" t="s">
        <v>315</v>
      </c>
      <c r="E17" s="13" t="s">
        <v>238</v>
      </c>
      <c r="F17" s="13" t="s">
        <v>307</v>
      </c>
      <c r="G17" s="13" t="s">
        <v>311</v>
      </c>
    </row>
    <row r="18" customFormat="false" ht="15" hidden="false" customHeight="false" outlineLevel="0" collapsed="false">
      <c r="A18" s="13" t="s">
        <v>116</v>
      </c>
      <c r="B18" s="13" t="s">
        <v>119</v>
      </c>
      <c r="C18" s="13" t="s">
        <v>120</v>
      </c>
      <c r="D18" s="13" t="s">
        <v>316</v>
      </c>
      <c r="E18" s="13" t="s">
        <v>238</v>
      </c>
      <c r="F18" s="13" t="s">
        <v>307</v>
      </c>
      <c r="G18" s="13" t="s">
        <v>317</v>
      </c>
    </row>
    <row r="19" customFormat="false" ht="15" hidden="false" customHeight="false" outlineLevel="0" collapsed="false">
      <c r="A19" s="13" t="s">
        <v>116</v>
      </c>
      <c r="B19" s="13" t="s">
        <v>121</v>
      </c>
      <c r="C19" s="13" t="s">
        <v>122</v>
      </c>
      <c r="D19" s="13" t="s">
        <v>318</v>
      </c>
      <c r="E19" s="13" t="s">
        <v>257</v>
      </c>
      <c r="F19" s="13" t="s">
        <v>307</v>
      </c>
      <c r="G19" s="13" t="s">
        <v>311</v>
      </c>
    </row>
    <row r="20" customFormat="false" ht="23.85" hidden="false" customHeight="false" outlineLevel="0" collapsed="false">
      <c r="A20" s="13" t="s">
        <v>116</v>
      </c>
      <c r="B20" s="13" t="s">
        <v>123</v>
      </c>
      <c r="C20" s="13" t="s">
        <v>124</v>
      </c>
      <c r="D20" s="13" t="s">
        <v>319</v>
      </c>
      <c r="E20" s="13" t="s">
        <v>257</v>
      </c>
      <c r="F20" s="13" t="s">
        <v>307</v>
      </c>
      <c r="G20" s="13" t="s">
        <v>311</v>
      </c>
    </row>
    <row r="21" customFormat="false" ht="15" hidden="false" customHeight="false" outlineLevel="0" collapsed="false">
      <c r="A21" s="13" t="s">
        <v>125</v>
      </c>
      <c r="B21" s="13" t="s">
        <v>126</v>
      </c>
      <c r="C21" s="13" t="s">
        <v>127</v>
      </c>
      <c r="D21" s="13" t="s">
        <v>320</v>
      </c>
      <c r="E21" s="13" t="s">
        <v>238</v>
      </c>
      <c r="F21" s="13" t="s">
        <v>307</v>
      </c>
      <c r="G21" s="13" t="s">
        <v>321</v>
      </c>
    </row>
    <row r="22" customFormat="false" ht="15" hidden="false" customHeight="false" outlineLevel="0" collapsed="false">
      <c r="A22" s="13" t="s">
        <v>125</v>
      </c>
      <c r="B22" s="13" t="s">
        <v>128</v>
      </c>
      <c r="C22" s="13" t="s">
        <v>129</v>
      </c>
      <c r="D22" s="13" t="s">
        <v>322</v>
      </c>
      <c r="E22" s="13" t="s">
        <v>238</v>
      </c>
      <c r="F22" s="13" t="s">
        <v>307</v>
      </c>
      <c r="G22" s="13" t="s">
        <v>311</v>
      </c>
    </row>
    <row r="23" customFormat="false" ht="15" hidden="false" customHeight="false" outlineLevel="0" collapsed="false">
      <c r="A23" s="13" t="s">
        <v>125</v>
      </c>
      <c r="B23" s="13" t="s">
        <v>130</v>
      </c>
      <c r="C23" s="13" t="s">
        <v>131</v>
      </c>
      <c r="D23" s="13" t="s">
        <v>323</v>
      </c>
      <c r="E23" s="13" t="s">
        <v>238</v>
      </c>
      <c r="F23" s="13" t="s">
        <v>307</v>
      </c>
      <c r="G23" s="13" t="s">
        <v>321</v>
      </c>
    </row>
    <row r="24" customFormat="false" ht="15" hidden="false" customHeight="false" outlineLevel="0" collapsed="false">
      <c r="A24" s="13" t="s">
        <v>125</v>
      </c>
      <c r="B24" s="13" t="s">
        <v>132</v>
      </c>
      <c r="C24" s="13" t="s">
        <v>133</v>
      </c>
      <c r="D24" s="13" t="s">
        <v>324</v>
      </c>
      <c r="E24" s="13" t="s">
        <v>257</v>
      </c>
      <c r="F24" s="13" t="s">
        <v>307</v>
      </c>
      <c r="G24" s="13" t="s">
        <v>321</v>
      </c>
    </row>
    <row r="25" customFormat="false" ht="15" hidden="false" customHeight="false" outlineLevel="0" collapsed="false">
      <c r="A25" s="13" t="s">
        <v>134</v>
      </c>
      <c r="B25" s="13" t="s">
        <v>135</v>
      </c>
      <c r="C25" s="13" t="s">
        <v>136</v>
      </c>
      <c r="D25" s="13" t="s">
        <v>325</v>
      </c>
      <c r="E25" s="13" t="s">
        <v>257</v>
      </c>
      <c r="F25" s="13" t="s">
        <v>307</v>
      </c>
      <c r="G25" s="13" t="s">
        <v>308</v>
      </c>
    </row>
    <row r="26" customFormat="false" ht="15" hidden="false" customHeight="false" outlineLevel="0" collapsed="false">
      <c r="A26" s="13" t="s">
        <v>134</v>
      </c>
      <c r="B26" s="13" t="s">
        <v>137</v>
      </c>
      <c r="C26" s="13" t="s">
        <v>138</v>
      </c>
      <c r="D26" s="13" t="s">
        <v>326</v>
      </c>
      <c r="E26" s="13" t="s">
        <v>295</v>
      </c>
      <c r="F26" s="13" t="s">
        <v>296</v>
      </c>
      <c r="G26" s="13" t="s">
        <v>307</v>
      </c>
    </row>
    <row r="27" customFormat="false" ht="15" hidden="false" customHeight="false" outlineLevel="0" collapsed="false">
      <c r="A27" s="13" t="s">
        <v>134</v>
      </c>
      <c r="B27" s="13" t="s">
        <v>139</v>
      </c>
      <c r="C27" s="13" t="s">
        <v>140</v>
      </c>
      <c r="D27" s="13" t="s">
        <v>327</v>
      </c>
      <c r="E27" s="13" t="s">
        <v>257</v>
      </c>
      <c r="F27" s="13" t="s">
        <v>307</v>
      </c>
      <c r="G27" s="13" t="s">
        <v>308</v>
      </c>
    </row>
    <row r="28" customFormat="false" ht="15" hidden="false" customHeight="false" outlineLevel="0" collapsed="false">
      <c r="A28" s="13" t="s">
        <v>141</v>
      </c>
      <c r="B28" s="13" t="s">
        <v>142</v>
      </c>
      <c r="C28" s="13" t="s">
        <v>143</v>
      </c>
      <c r="D28" s="13" t="s">
        <v>328</v>
      </c>
      <c r="E28" s="13" t="s">
        <v>257</v>
      </c>
      <c r="F28" s="13" t="s">
        <v>307</v>
      </c>
      <c r="G28" s="13" t="s">
        <v>308</v>
      </c>
    </row>
    <row r="29" customFormat="false" ht="15" hidden="false" customHeight="false" outlineLevel="0" collapsed="false">
      <c r="A29" s="13" t="s">
        <v>141</v>
      </c>
      <c r="B29" s="13" t="s">
        <v>144</v>
      </c>
      <c r="C29" s="13" t="s">
        <v>145</v>
      </c>
      <c r="D29" s="13" t="s">
        <v>329</v>
      </c>
      <c r="E29" s="13" t="s">
        <v>238</v>
      </c>
      <c r="F29" s="13" t="s">
        <v>307</v>
      </c>
      <c r="G29" s="13" t="s">
        <v>308</v>
      </c>
    </row>
    <row r="30" customFormat="false" ht="15" hidden="false" customHeight="false" outlineLevel="0" collapsed="false">
      <c r="A30" s="13" t="s">
        <v>141</v>
      </c>
      <c r="B30" s="13" t="s">
        <v>146</v>
      </c>
      <c r="C30" s="13" t="s">
        <v>147</v>
      </c>
      <c r="D30" s="13" t="s">
        <v>330</v>
      </c>
      <c r="E30" s="13" t="s">
        <v>238</v>
      </c>
      <c r="F30" s="13" t="s">
        <v>307</v>
      </c>
      <c r="G30" s="13" t="s">
        <v>308</v>
      </c>
    </row>
    <row r="31" customFormat="false" ht="15" hidden="false" customHeight="false" outlineLevel="0" collapsed="false">
      <c r="A31" s="13" t="s">
        <v>141</v>
      </c>
      <c r="B31" s="13" t="s">
        <v>148</v>
      </c>
      <c r="C31" s="13" t="s">
        <v>149</v>
      </c>
      <c r="D31" s="13" t="s">
        <v>331</v>
      </c>
      <c r="E31" s="13" t="s">
        <v>238</v>
      </c>
      <c r="F31" s="13" t="s">
        <v>307</v>
      </c>
      <c r="G31" s="13" t="s">
        <v>308</v>
      </c>
    </row>
    <row r="32" customFormat="false" ht="15" hidden="false" customHeight="false" outlineLevel="0" collapsed="false">
      <c r="A32" s="13" t="s">
        <v>141</v>
      </c>
      <c r="B32" s="13" t="s">
        <v>150</v>
      </c>
      <c r="C32" s="13" t="s">
        <v>151</v>
      </c>
      <c r="D32" s="13" t="s">
        <v>332</v>
      </c>
      <c r="E32" s="13" t="s">
        <v>257</v>
      </c>
      <c r="F32" s="13" t="s">
        <v>307</v>
      </c>
      <c r="G32" s="13" t="s">
        <v>308</v>
      </c>
    </row>
    <row r="33" customFormat="false" ht="15" hidden="false" customHeight="false" outlineLevel="0" collapsed="false">
      <c r="A33" s="13" t="s">
        <v>152</v>
      </c>
      <c r="B33" s="13" t="s">
        <v>153</v>
      </c>
      <c r="C33" s="13" t="s">
        <v>154</v>
      </c>
      <c r="D33" s="13" t="s">
        <v>333</v>
      </c>
      <c r="E33" s="13" t="s">
        <v>238</v>
      </c>
      <c r="F33" s="13" t="s">
        <v>307</v>
      </c>
      <c r="G33" s="13" t="s">
        <v>311</v>
      </c>
    </row>
    <row r="34" customFormat="false" ht="15" hidden="false" customHeight="false" outlineLevel="0" collapsed="false">
      <c r="A34" s="13" t="s">
        <v>152</v>
      </c>
      <c r="B34" s="13" t="s">
        <v>155</v>
      </c>
      <c r="C34" s="13" t="s">
        <v>156</v>
      </c>
      <c r="D34" s="13" t="s">
        <v>334</v>
      </c>
      <c r="E34" s="13" t="s">
        <v>238</v>
      </c>
      <c r="F34" s="13" t="s">
        <v>307</v>
      </c>
      <c r="G34" s="13" t="s">
        <v>311</v>
      </c>
    </row>
    <row r="35" customFormat="false" ht="23.85" hidden="false" customHeight="false" outlineLevel="0" collapsed="false">
      <c r="A35" s="13" t="s">
        <v>152</v>
      </c>
      <c r="B35" s="13" t="s">
        <v>157</v>
      </c>
      <c r="C35" s="13" t="s">
        <v>158</v>
      </c>
      <c r="D35" s="13" t="s">
        <v>335</v>
      </c>
      <c r="E35" s="13" t="s">
        <v>238</v>
      </c>
      <c r="F35" s="13" t="s">
        <v>307</v>
      </c>
      <c r="G35" s="13" t="s">
        <v>336</v>
      </c>
    </row>
    <row r="36" customFormat="false" ht="15" hidden="false" customHeight="false" outlineLevel="0" collapsed="false">
      <c r="A36" s="13" t="s">
        <v>152</v>
      </c>
      <c r="B36" s="13" t="s">
        <v>159</v>
      </c>
      <c r="C36" s="13" t="s">
        <v>160</v>
      </c>
      <c r="D36" s="13" t="s">
        <v>337</v>
      </c>
      <c r="E36" s="13" t="s">
        <v>238</v>
      </c>
      <c r="F36" s="13" t="s">
        <v>307</v>
      </c>
      <c r="G36" s="13" t="s">
        <v>338</v>
      </c>
    </row>
    <row r="37" customFormat="false" ht="15" hidden="false" customHeight="false" outlineLevel="0" collapsed="false">
      <c r="A37" s="13" t="s">
        <v>161</v>
      </c>
      <c r="B37" s="13" t="s">
        <v>162</v>
      </c>
      <c r="C37" s="13" t="s">
        <v>163</v>
      </c>
      <c r="D37" s="13" t="s">
        <v>339</v>
      </c>
      <c r="E37" s="13" t="s">
        <v>257</v>
      </c>
      <c r="F37" s="13" t="s">
        <v>307</v>
      </c>
      <c r="G37" s="13" t="s">
        <v>308</v>
      </c>
    </row>
    <row r="38" customFormat="false" ht="15" hidden="false" customHeight="false" outlineLevel="0" collapsed="false">
      <c r="A38" s="13" t="s">
        <v>161</v>
      </c>
      <c r="B38" s="13" t="s">
        <v>164</v>
      </c>
      <c r="C38" s="13" t="s">
        <v>165</v>
      </c>
      <c r="D38" s="13" t="s">
        <v>340</v>
      </c>
      <c r="E38" s="13" t="s">
        <v>257</v>
      </c>
      <c r="F38" s="13" t="s">
        <v>341</v>
      </c>
      <c r="G38" s="13" t="s">
        <v>342</v>
      </c>
    </row>
    <row r="39" customFormat="false" ht="15" hidden="false" customHeight="false" outlineLevel="0" collapsed="false">
      <c r="A39" s="13" t="s">
        <v>161</v>
      </c>
      <c r="B39" s="13" t="s">
        <v>166</v>
      </c>
      <c r="C39" s="13" t="s">
        <v>167</v>
      </c>
      <c r="D39" s="13" t="s">
        <v>343</v>
      </c>
      <c r="E39" s="13" t="s">
        <v>257</v>
      </c>
      <c r="F39" s="13" t="s">
        <v>307</v>
      </c>
      <c r="G39" s="13" t="s">
        <v>321</v>
      </c>
    </row>
    <row r="40" customFormat="false" ht="15" hidden="false" customHeight="false" outlineLevel="0" collapsed="false">
      <c r="A40" s="13" t="s">
        <v>161</v>
      </c>
      <c r="B40" s="13" t="s">
        <v>168</v>
      </c>
      <c r="C40" s="13" t="s">
        <v>169</v>
      </c>
      <c r="D40" s="13" t="s">
        <v>344</v>
      </c>
      <c r="E40" s="13" t="s">
        <v>257</v>
      </c>
      <c r="F40" s="13" t="s">
        <v>307</v>
      </c>
      <c r="G40" s="13" t="s">
        <v>308</v>
      </c>
    </row>
    <row r="41" customFormat="false" ht="15" hidden="false" customHeight="false" outlineLevel="0" collapsed="false">
      <c r="A41" s="13" t="s">
        <v>170</v>
      </c>
      <c r="B41" s="13" t="s">
        <v>171</v>
      </c>
      <c r="C41" s="13" t="s">
        <v>172</v>
      </c>
      <c r="D41" s="13" t="s">
        <v>345</v>
      </c>
      <c r="E41" s="13" t="s">
        <v>295</v>
      </c>
      <c r="F41" s="13" t="s">
        <v>296</v>
      </c>
      <c r="G41" s="13" t="s">
        <v>346</v>
      </c>
    </row>
    <row r="42" customFormat="false" ht="15" hidden="false" customHeight="false" outlineLevel="0" collapsed="false">
      <c r="A42" s="13" t="s">
        <v>170</v>
      </c>
      <c r="B42" s="13" t="s">
        <v>173</v>
      </c>
      <c r="C42" s="13" t="s">
        <v>174</v>
      </c>
      <c r="D42" s="13" t="s">
        <v>347</v>
      </c>
      <c r="E42" s="13" t="s">
        <v>238</v>
      </c>
      <c r="F42" s="13" t="s">
        <v>296</v>
      </c>
      <c r="G42" s="13" t="s">
        <v>321</v>
      </c>
    </row>
    <row r="43" customFormat="false" ht="15" hidden="false" customHeight="false" outlineLevel="0" collapsed="false">
      <c r="A43" s="13" t="s">
        <v>170</v>
      </c>
      <c r="B43" s="13" t="s">
        <v>175</v>
      </c>
      <c r="C43" s="13" t="s">
        <v>176</v>
      </c>
      <c r="D43" s="13" t="s">
        <v>348</v>
      </c>
      <c r="E43" s="13" t="s">
        <v>257</v>
      </c>
      <c r="F43" s="13" t="s">
        <v>307</v>
      </c>
      <c r="G43" s="13" t="s">
        <v>308</v>
      </c>
    </row>
    <row r="44" customFormat="false" ht="15" hidden="false" customHeight="false" outlineLevel="0" collapsed="false">
      <c r="A44" s="13" t="s">
        <v>170</v>
      </c>
      <c r="B44" s="13" t="s">
        <v>177</v>
      </c>
      <c r="C44" s="13" t="s">
        <v>178</v>
      </c>
      <c r="D44" s="13" t="s">
        <v>349</v>
      </c>
      <c r="E44" s="13" t="s">
        <v>257</v>
      </c>
      <c r="F44" s="13" t="s">
        <v>296</v>
      </c>
      <c r="G44" s="13" t="s">
        <v>321</v>
      </c>
    </row>
    <row r="45" customFormat="false" ht="15" hidden="false" customHeight="false" outlineLevel="0" collapsed="false">
      <c r="A45" s="13" t="s">
        <v>170</v>
      </c>
      <c r="B45" s="13" t="s">
        <v>179</v>
      </c>
      <c r="C45" s="13" t="s">
        <v>180</v>
      </c>
      <c r="D45" s="13" t="s">
        <v>350</v>
      </c>
      <c r="E45" s="13" t="s">
        <v>257</v>
      </c>
      <c r="F45" s="13" t="s">
        <v>296</v>
      </c>
      <c r="G45" s="13" t="s">
        <v>321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8C9EB"/>
    <pageSetUpPr fitToPage="true"/>
  </sheetPr>
  <dimension ref="A1:L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5"/>
    <col collapsed="false" customWidth="true" hidden="false" outlineLevel="0" max="5" min="5" style="0" width="16"/>
    <col collapsed="false" customWidth="true" hidden="false" outlineLevel="0" max="6" min="6" style="0" width="42"/>
    <col collapsed="false" customWidth="true" hidden="false" outlineLevel="0" max="7" min="7" style="0" width="22"/>
    <col collapsed="false" customWidth="true" hidden="false" outlineLevel="0" max="8" min="8" style="0" width="20"/>
    <col collapsed="false" customWidth="true" hidden="false" outlineLevel="0" max="10" min="9" style="0" width="9"/>
    <col collapsed="false" customWidth="true" hidden="false" outlineLevel="0" max="11" min="11" style="0" width="22"/>
    <col collapsed="false" customWidth="true" hidden="false" outlineLevel="0" max="12" min="12" style="0" width="30"/>
  </cols>
  <sheetData>
    <row r="1" customFormat="false" ht="23.85" hidden="false" customHeight="false" outlineLevel="0" collapsed="false">
      <c r="A1" s="9" t="s">
        <v>66</v>
      </c>
      <c r="B1" s="9" t="s">
        <v>351</v>
      </c>
      <c r="C1" s="9" t="s">
        <v>67</v>
      </c>
      <c r="D1" s="9" t="s">
        <v>352</v>
      </c>
      <c r="E1" s="9" t="s">
        <v>353</v>
      </c>
      <c r="F1" s="9" t="s">
        <v>354</v>
      </c>
      <c r="G1" s="9" t="s">
        <v>355</v>
      </c>
      <c r="H1" s="9" t="s">
        <v>356</v>
      </c>
      <c r="I1" s="9" t="s">
        <v>69</v>
      </c>
      <c r="J1" s="9" t="s">
        <v>357</v>
      </c>
      <c r="K1" s="9" t="s">
        <v>358</v>
      </c>
      <c r="L1" s="9" t="s">
        <v>15</v>
      </c>
    </row>
    <row r="2" customFormat="false" ht="15" hidden="false" customHeight="false" outlineLevel="0" collapsed="false">
      <c r="A2" s="13" t="s">
        <v>181</v>
      </c>
      <c r="B2" s="13" t="s">
        <v>359</v>
      </c>
      <c r="C2" s="13" t="s">
        <v>96</v>
      </c>
      <c r="D2" s="19" t="n">
        <v>1</v>
      </c>
      <c r="E2" s="13" t="s">
        <v>360</v>
      </c>
      <c r="F2" s="13" t="s">
        <v>361</v>
      </c>
      <c r="G2" s="13"/>
      <c r="H2" s="13"/>
      <c r="I2" s="13"/>
      <c r="J2" s="13"/>
      <c r="K2" s="13" t="s">
        <v>362</v>
      </c>
      <c r="L2" s="13"/>
    </row>
    <row r="3" customFormat="false" ht="15" hidden="false" customHeight="false" outlineLevel="0" collapsed="false">
      <c r="A3" s="13" t="s">
        <v>181</v>
      </c>
      <c r="B3" s="13" t="s">
        <v>359</v>
      </c>
      <c r="C3" s="13" t="s">
        <v>96</v>
      </c>
      <c r="D3" s="19" t="n">
        <v>2</v>
      </c>
      <c r="E3" s="13" t="s">
        <v>363</v>
      </c>
      <c r="F3" s="13" t="s">
        <v>364</v>
      </c>
      <c r="G3" s="13" t="s">
        <v>183</v>
      </c>
      <c r="H3" s="13"/>
      <c r="I3" s="13" t="s">
        <v>97</v>
      </c>
      <c r="J3" s="13"/>
      <c r="K3" s="13" t="s">
        <v>365</v>
      </c>
      <c r="L3" s="13"/>
    </row>
    <row r="4" customFormat="false" ht="15" hidden="false" customHeight="false" outlineLevel="0" collapsed="false">
      <c r="A4" s="13" t="s">
        <v>181</v>
      </c>
      <c r="B4" s="13" t="s">
        <v>359</v>
      </c>
      <c r="C4" s="13" t="s">
        <v>96</v>
      </c>
      <c r="D4" s="19" t="n">
        <v>3</v>
      </c>
      <c r="E4" s="13" t="s">
        <v>363</v>
      </c>
      <c r="F4" s="13" t="s">
        <v>366</v>
      </c>
      <c r="G4" s="13" t="s">
        <v>367</v>
      </c>
      <c r="H4" s="13"/>
      <c r="I4" s="13"/>
      <c r="J4" s="13"/>
      <c r="K4" s="13" t="s">
        <v>368</v>
      </c>
      <c r="L4" s="13"/>
    </row>
    <row r="5" customFormat="false" ht="23.85" hidden="false" customHeight="false" outlineLevel="0" collapsed="false">
      <c r="A5" s="20" t="s">
        <v>181</v>
      </c>
      <c r="B5" s="20" t="s">
        <v>359</v>
      </c>
      <c r="C5" s="20" t="s">
        <v>96</v>
      </c>
      <c r="D5" s="21" t="n">
        <v>4</v>
      </c>
      <c r="E5" s="20" t="s">
        <v>363</v>
      </c>
      <c r="F5" s="20" t="s">
        <v>369</v>
      </c>
      <c r="G5" s="20" t="s">
        <v>183</v>
      </c>
      <c r="H5" s="20" t="s">
        <v>184</v>
      </c>
      <c r="I5" s="20" t="s">
        <v>97</v>
      </c>
      <c r="J5" s="20" t="s">
        <v>370</v>
      </c>
      <c r="K5" s="20" t="s">
        <v>371</v>
      </c>
      <c r="L5" s="20" t="s">
        <v>372</v>
      </c>
    </row>
    <row r="6" customFormat="false" ht="15" hidden="false" customHeight="false" outlineLevel="0" collapsed="false">
      <c r="A6" s="13" t="s">
        <v>181</v>
      </c>
      <c r="B6" s="13" t="s">
        <v>359</v>
      </c>
      <c r="C6" s="13" t="s">
        <v>96</v>
      </c>
      <c r="D6" s="19" t="n">
        <v>5</v>
      </c>
      <c r="E6" s="13" t="s">
        <v>363</v>
      </c>
      <c r="F6" s="13" t="s">
        <v>373</v>
      </c>
      <c r="G6" s="13" t="s">
        <v>230</v>
      </c>
      <c r="H6" s="13" t="s">
        <v>184</v>
      </c>
      <c r="I6" s="13"/>
      <c r="J6" s="13"/>
      <c r="K6" s="13" t="s">
        <v>374</v>
      </c>
      <c r="L6" s="13"/>
    </row>
    <row r="7" customFormat="false" ht="15" hidden="false" customHeight="false" outlineLevel="0" collapsed="false">
      <c r="A7" s="13" t="s">
        <v>181</v>
      </c>
      <c r="B7" s="13" t="s">
        <v>359</v>
      </c>
      <c r="C7" s="13" t="s">
        <v>96</v>
      </c>
      <c r="D7" s="19" t="n">
        <v>6</v>
      </c>
      <c r="E7" s="13" t="s">
        <v>375</v>
      </c>
      <c r="F7" s="13" t="s">
        <v>376</v>
      </c>
      <c r="G7" s="13"/>
      <c r="H7" s="13"/>
      <c r="I7" s="13"/>
      <c r="J7" s="13"/>
      <c r="K7" s="13" t="s">
        <v>377</v>
      </c>
      <c r="L7" s="13"/>
    </row>
    <row r="8" customFormat="false" ht="15" hidden="false" customHeight="false" outlineLevel="0" collapsed="false">
      <c r="A8" s="13" t="s">
        <v>181</v>
      </c>
      <c r="B8" s="13" t="s">
        <v>359</v>
      </c>
      <c r="C8" s="13" t="s">
        <v>96</v>
      </c>
      <c r="D8" s="19" t="n">
        <v>7</v>
      </c>
      <c r="E8" s="13" t="s">
        <v>360</v>
      </c>
      <c r="F8" s="13" t="s">
        <v>378</v>
      </c>
      <c r="G8" s="13"/>
      <c r="H8" s="13"/>
      <c r="I8" s="13"/>
      <c r="J8" s="13"/>
      <c r="K8" s="13"/>
      <c r="L8" s="13"/>
    </row>
    <row r="9" customFormat="false" ht="35.05" hidden="false" customHeight="false" outlineLevel="0" collapsed="false">
      <c r="A9" s="20" t="s">
        <v>181</v>
      </c>
      <c r="B9" s="20" t="s">
        <v>359</v>
      </c>
      <c r="C9" s="20" t="s">
        <v>96</v>
      </c>
      <c r="D9" s="21" t="n">
        <v>8</v>
      </c>
      <c r="E9" s="20" t="s">
        <v>363</v>
      </c>
      <c r="F9" s="20" t="s">
        <v>379</v>
      </c>
      <c r="G9" s="20" t="s">
        <v>380</v>
      </c>
      <c r="H9" s="20" t="s">
        <v>184</v>
      </c>
      <c r="I9" s="20" t="s">
        <v>105</v>
      </c>
      <c r="J9" s="20" t="s">
        <v>370</v>
      </c>
      <c r="K9" s="20" t="s">
        <v>381</v>
      </c>
      <c r="L9" s="20" t="s">
        <v>382</v>
      </c>
    </row>
    <row r="10" customFormat="false" ht="23.85" hidden="false" customHeight="false" outlineLevel="0" collapsed="false">
      <c r="A10" s="13" t="s">
        <v>181</v>
      </c>
      <c r="B10" s="13" t="s">
        <v>359</v>
      </c>
      <c r="C10" s="13" t="s">
        <v>96</v>
      </c>
      <c r="D10" s="19" t="n">
        <v>9</v>
      </c>
      <c r="E10" s="13" t="s">
        <v>383</v>
      </c>
      <c r="F10" s="13" t="s">
        <v>384</v>
      </c>
      <c r="G10" s="13"/>
      <c r="H10" s="13"/>
      <c r="I10" s="13"/>
      <c r="J10" s="13"/>
      <c r="K10" s="13" t="s">
        <v>368</v>
      </c>
      <c r="L10" s="13"/>
    </row>
    <row r="11" customFormat="false" ht="23.85" hidden="false" customHeight="false" outlineLevel="0" collapsed="false">
      <c r="A11" s="13" t="s">
        <v>181</v>
      </c>
      <c r="B11" s="13" t="s">
        <v>359</v>
      </c>
      <c r="C11" s="13" t="s">
        <v>96</v>
      </c>
      <c r="D11" s="19" t="n">
        <v>10</v>
      </c>
      <c r="E11" s="13" t="s">
        <v>383</v>
      </c>
      <c r="F11" s="13" t="s">
        <v>385</v>
      </c>
      <c r="G11" s="13"/>
      <c r="H11" s="13"/>
      <c r="I11" s="13"/>
      <c r="J11" s="13"/>
      <c r="K11" s="13" t="s">
        <v>371</v>
      </c>
      <c r="L11" s="13"/>
    </row>
    <row r="12" customFormat="false" ht="15" hidden="false" customHeight="false" outlineLevel="0" collapsed="false">
      <c r="A12" s="13" t="s">
        <v>181</v>
      </c>
      <c r="B12" s="13" t="s">
        <v>359</v>
      </c>
      <c r="C12" s="13" t="s">
        <v>107</v>
      </c>
      <c r="D12" s="19" t="n">
        <v>1</v>
      </c>
      <c r="E12" s="13" t="s">
        <v>360</v>
      </c>
      <c r="F12" s="13" t="s">
        <v>386</v>
      </c>
      <c r="G12" s="13"/>
      <c r="H12" s="13"/>
      <c r="I12" s="13"/>
      <c r="J12" s="13"/>
      <c r="K12" s="13" t="s">
        <v>362</v>
      </c>
      <c r="L12" s="13"/>
    </row>
    <row r="13" customFormat="false" ht="15" hidden="false" customHeight="false" outlineLevel="0" collapsed="false">
      <c r="A13" s="20" t="s">
        <v>181</v>
      </c>
      <c r="B13" s="20" t="s">
        <v>359</v>
      </c>
      <c r="C13" s="20" t="s">
        <v>107</v>
      </c>
      <c r="D13" s="21" t="n">
        <v>2</v>
      </c>
      <c r="E13" s="20" t="s">
        <v>363</v>
      </c>
      <c r="F13" s="20" t="s">
        <v>387</v>
      </c>
      <c r="G13" s="20" t="s">
        <v>209</v>
      </c>
      <c r="H13" s="20"/>
      <c r="I13" s="20" t="s">
        <v>108</v>
      </c>
      <c r="J13" s="20" t="s">
        <v>370</v>
      </c>
      <c r="K13" s="20" t="s">
        <v>365</v>
      </c>
      <c r="L13" s="20" t="s">
        <v>388</v>
      </c>
    </row>
    <row r="14" customFormat="false" ht="23.85" hidden="false" customHeight="false" outlineLevel="0" collapsed="false">
      <c r="A14" s="13" t="s">
        <v>181</v>
      </c>
      <c r="B14" s="13" t="s">
        <v>359</v>
      </c>
      <c r="C14" s="13" t="s">
        <v>107</v>
      </c>
      <c r="D14" s="19" t="n">
        <v>3</v>
      </c>
      <c r="E14" s="13" t="s">
        <v>363</v>
      </c>
      <c r="F14" s="13" t="s">
        <v>389</v>
      </c>
      <c r="G14" s="13" t="s">
        <v>230</v>
      </c>
      <c r="H14" s="13"/>
      <c r="I14" s="13"/>
      <c r="J14" s="13"/>
      <c r="K14" s="13" t="s">
        <v>368</v>
      </c>
      <c r="L14" s="13"/>
    </row>
    <row r="15" customFormat="false" ht="23.85" hidden="false" customHeight="false" outlineLevel="0" collapsed="false">
      <c r="A15" s="20" t="s">
        <v>181</v>
      </c>
      <c r="B15" s="20" t="s">
        <v>359</v>
      </c>
      <c r="C15" s="20" t="s">
        <v>107</v>
      </c>
      <c r="D15" s="21" t="n">
        <v>4</v>
      </c>
      <c r="E15" s="20" t="s">
        <v>363</v>
      </c>
      <c r="F15" s="20" t="s">
        <v>390</v>
      </c>
      <c r="G15" s="20" t="s">
        <v>230</v>
      </c>
      <c r="H15" s="20"/>
      <c r="I15" s="20" t="s">
        <v>228</v>
      </c>
      <c r="J15" s="20" t="s">
        <v>370</v>
      </c>
      <c r="K15" s="20" t="s">
        <v>371</v>
      </c>
      <c r="L15" s="20" t="s">
        <v>391</v>
      </c>
    </row>
    <row r="16" customFormat="false" ht="23.85" hidden="false" customHeight="false" outlineLevel="0" collapsed="false">
      <c r="A16" s="20" t="s">
        <v>181</v>
      </c>
      <c r="B16" s="20" t="s">
        <v>359</v>
      </c>
      <c r="C16" s="20" t="s">
        <v>107</v>
      </c>
      <c r="D16" s="21" t="n">
        <v>5</v>
      </c>
      <c r="E16" s="20" t="s">
        <v>363</v>
      </c>
      <c r="F16" s="20" t="s">
        <v>392</v>
      </c>
      <c r="G16" s="20" t="s">
        <v>209</v>
      </c>
      <c r="H16" s="20"/>
      <c r="I16" s="20" t="s">
        <v>108</v>
      </c>
      <c r="J16" s="20" t="s">
        <v>370</v>
      </c>
      <c r="K16" s="20" t="s">
        <v>374</v>
      </c>
      <c r="L16" s="20" t="s">
        <v>393</v>
      </c>
    </row>
    <row r="17" customFormat="false" ht="23.85" hidden="false" customHeight="false" outlineLevel="0" collapsed="false">
      <c r="A17" s="20" t="s">
        <v>181</v>
      </c>
      <c r="B17" s="20" t="s">
        <v>359</v>
      </c>
      <c r="C17" s="20" t="s">
        <v>107</v>
      </c>
      <c r="D17" s="21" t="n">
        <v>6</v>
      </c>
      <c r="E17" s="20" t="s">
        <v>363</v>
      </c>
      <c r="F17" s="20" t="s">
        <v>394</v>
      </c>
      <c r="G17" s="20" t="s">
        <v>380</v>
      </c>
      <c r="H17" s="20"/>
      <c r="I17" s="20" t="s">
        <v>112</v>
      </c>
      <c r="J17" s="20" t="s">
        <v>370</v>
      </c>
      <c r="K17" s="20" t="s">
        <v>381</v>
      </c>
      <c r="L17" s="20"/>
    </row>
    <row r="18" customFormat="false" ht="23.85" hidden="false" customHeight="false" outlineLevel="0" collapsed="false">
      <c r="A18" s="20" t="s">
        <v>181</v>
      </c>
      <c r="B18" s="20" t="s">
        <v>359</v>
      </c>
      <c r="C18" s="20" t="s">
        <v>107</v>
      </c>
      <c r="D18" s="21" t="n">
        <v>7</v>
      </c>
      <c r="E18" s="20" t="s">
        <v>363</v>
      </c>
      <c r="F18" s="20" t="s">
        <v>395</v>
      </c>
      <c r="G18" s="20" t="s">
        <v>396</v>
      </c>
      <c r="H18" s="20"/>
      <c r="I18" s="20" t="s">
        <v>114</v>
      </c>
      <c r="J18" s="20" t="s">
        <v>370</v>
      </c>
      <c r="K18" s="20" t="s">
        <v>397</v>
      </c>
      <c r="L18" s="20" t="s">
        <v>398</v>
      </c>
    </row>
    <row r="19" customFormat="false" ht="15" hidden="false" customHeight="false" outlineLevel="0" collapsed="false">
      <c r="A19" s="20" t="s">
        <v>181</v>
      </c>
      <c r="B19" s="20" t="s">
        <v>359</v>
      </c>
      <c r="C19" s="20" t="s">
        <v>107</v>
      </c>
      <c r="D19" s="21" t="n">
        <v>8</v>
      </c>
      <c r="E19" s="20" t="s">
        <v>360</v>
      </c>
      <c r="F19" s="20" t="s">
        <v>399</v>
      </c>
      <c r="G19" s="20"/>
      <c r="H19" s="20"/>
      <c r="I19" s="20"/>
      <c r="J19" s="20" t="s">
        <v>370</v>
      </c>
      <c r="K19" s="20"/>
      <c r="L19" s="20"/>
    </row>
    <row r="20" customFormat="false" ht="23.85" hidden="false" customHeight="false" outlineLevel="0" collapsed="false">
      <c r="A20" s="13" t="s">
        <v>181</v>
      </c>
      <c r="B20" s="13" t="s">
        <v>359</v>
      </c>
      <c r="C20" s="13" t="s">
        <v>107</v>
      </c>
      <c r="D20" s="19" t="n">
        <v>9</v>
      </c>
      <c r="E20" s="13" t="s">
        <v>383</v>
      </c>
      <c r="F20" s="13" t="s">
        <v>400</v>
      </c>
      <c r="G20" s="13"/>
      <c r="H20" s="13"/>
      <c r="I20" s="13"/>
      <c r="J20" s="13"/>
      <c r="K20" s="13" t="s">
        <v>365</v>
      </c>
      <c r="L20" s="13"/>
    </row>
    <row r="21" customFormat="false" ht="15" hidden="false" customHeight="false" outlineLevel="0" collapsed="false">
      <c r="A21" s="13" t="s">
        <v>181</v>
      </c>
      <c r="B21" s="13" t="s">
        <v>359</v>
      </c>
      <c r="C21" s="13" t="s">
        <v>116</v>
      </c>
      <c r="D21" s="19" t="n">
        <v>1</v>
      </c>
      <c r="E21" s="13" t="s">
        <v>360</v>
      </c>
      <c r="F21" s="13" t="s">
        <v>401</v>
      </c>
      <c r="G21" s="13"/>
      <c r="H21" s="13"/>
      <c r="I21" s="13"/>
      <c r="J21" s="13"/>
      <c r="K21" s="13" t="s">
        <v>402</v>
      </c>
      <c r="L21" s="13"/>
    </row>
    <row r="22" customFormat="false" ht="15" hidden="false" customHeight="false" outlineLevel="0" collapsed="false">
      <c r="A22" s="13" t="s">
        <v>181</v>
      </c>
      <c r="B22" s="13" t="s">
        <v>359</v>
      </c>
      <c r="C22" s="13" t="s">
        <v>116</v>
      </c>
      <c r="D22" s="19" t="n">
        <v>2</v>
      </c>
      <c r="E22" s="13" t="s">
        <v>363</v>
      </c>
      <c r="F22" s="13" t="s">
        <v>403</v>
      </c>
      <c r="G22" s="13" t="s">
        <v>183</v>
      </c>
      <c r="H22" s="13" t="s">
        <v>404</v>
      </c>
      <c r="I22" s="13" t="s">
        <v>117</v>
      </c>
      <c r="J22" s="13"/>
      <c r="K22" s="13" t="s">
        <v>368</v>
      </c>
      <c r="L22" s="13"/>
    </row>
    <row r="23" customFormat="false" ht="15" hidden="false" customHeight="false" outlineLevel="0" collapsed="false">
      <c r="A23" s="13" t="s">
        <v>181</v>
      </c>
      <c r="B23" s="13" t="s">
        <v>359</v>
      </c>
      <c r="C23" s="13" t="s">
        <v>116</v>
      </c>
      <c r="D23" s="19" t="n">
        <v>3</v>
      </c>
      <c r="E23" s="13" t="s">
        <v>363</v>
      </c>
      <c r="F23" s="13" t="s">
        <v>405</v>
      </c>
      <c r="G23" s="13" t="s">
        <v>230</v>
      </c>
      <c r="H23" s="13" t="s">
        <v>184</v>
      </c>
      <c r="I23" s="13" t="s">
        <v>117</v>
      </c>
      <c r="J23" s="13"/>
      <c r="K23" s="13" t="s">
        <v>368</v>
      </c>
      <c r="L23" s="13"/>
    </row>
    <row r="24" customFormat="false" ht="23.85" hidden="false" customHeight="false" outlineLevel="0" collapsed="false">
      <c r="A24" s="13" t="s">
        <v>181</v>
      </c>
      <c r="B24" s="13" t="s">
        <v>359</v>
      </c>
      <c r="C24" s="13" t="s">
        <v>116</v>
      </c>
      <c r="D24" s="19" t="n">
        <v>4</v>
      </c>
      <c r="E24" s="13" t="s">
        <v>363</v>
      </c>
      <c r="F24" s="13" t="s">
        <v>406</v>
      </c>
      <c r="G24" s="13" t="s">
        <v>407</v>
      </c>
      <c r="H24" s="13"/>
      <c r="I24" s="13" t="s">
        <v>117</v>
      </c>
      <c r="J24" s="13"/>
      <c r="K24" s="13" t="s">
        <v>371</v>
      </c>
      <c r="L24" s="13"/>
    </row>
    <row r="25" customFormat="false" ht="23.85" hidden="false" customHeight="false" outlineLevel="0" collapsed="false">
      <c r="A25" s="20" t="s">
        <v>181</v>
      </c>
      <c r="B25" s="20" t="s">
        <v>359</v>
      </c>
      <c r="C25" s="20" t="s">
        <v>116</v>
      </c>
      <c r="D25" s="21" t="n">
        <v>5</v>
      </c>
      <c r="E25" s="20" t="s">
        <v>363</v>
      </c>
      <c r="F25" s="20" t="s">
        <v>408</v>
      </c>
      <c r="G25" s="20" t="s">
        <v>409</v>
      </c>
      <c r="H25" s="20"/>
      <c r="I25" s="20" t="s">
        <v>117</v>
      </c>
      <c r="J25" s="20" t="s">
        <v>370</v>
      </c>
      <c r="K25" s="20" t="s">
        <v>374</v>
      </c>
      <c r="L25" s="20" t="s">
        <v>410</v>
      </c>
    </row>
    <row r="26" customFormat="false" ht="35.05" hidden="false" customHeight="false" outlineLevel="0" collapsed="false">
      <c r="A26" s="20" t="s">
        <v>181</v>
      </c>
      <c r="B26" s="20" t="s">
        <v>359</v>
      </c>
      <c r="C26" s="20" t="s">
        <v>116</v>
      </c>
      <c r="D26" s="21" t="n">
        <v>6</v>
      </c>
      <c r="E26" s="20" t="s">
        <v>363</v>
      </c>
      <c r="F26" s="20" t="s">
        <v>411</v>
      </c>
      <c r="G26" s="20" t="s">
        <v>380</v>
      </c>
      <c r="H26" s="20" t="s">
        <v>404</v>
      </c>
      <c r="I26" s="20" t="s">
        <v>119</v>
      </c>
      <c r="J26" s="20" t="s">
        <v>370</v>
      </c>
      <c r="K26" s="20" t="s">
        <v>381</v>
      </c>
      <c r="L26" s="20" t="s">
        <v>412</v>
      </c>
    </row>
    <row r="27" customFormat="false" ht="15" hidden="false" customHeight="false" outlineLevel="0" collapsed="false">
      <c r="A27" s="13" t="s">
        <v>181</v>
      </c>
      <c r="B27" s="13" t="s">
        <v>359</v>
      </c>
      <c r="C27" s="13" t="s">
        <v>116</v>
      </c>
      <c r="D27" s="19" t="n">
        <v>7</v>
      </c>
      <c r="E27" s="13" t="s">
        <v>363</v>
      </c>
      <c r="F27" s="13" t="s">
        <v>413</v>
      </c>
      <c r="G27" s="13" t="s">
        <v>230</v>
      </c>
      <c r="H27" s="13"/>
      <c r="I27" s="13" t="s">
        <v>119</v>
      </c>
      <c r="J27" s="13"/>
      <c r="K27" s="13" t="s">
        <v>397</v>
      </c>
      <c r="L27" s="13"/>
    </row>
    <row r="28" customFormat="false" ht="15" hidden="false" customHeight="false" outlineLevel="0" collapsed="false">
      <c r="A28" s="13" t="s">
        <v>181</v>
      </c>
      <c r="B28" s="13" t="s">
        <v>359</v>
      </c>
      <c r="C28" s="13" t="s">
        <v>116</v>
      </c>
      <c r="D28" s="19" t="n">
        <v>8</v>
      </c>
      <c r="E28" s="13" t="s">
        <v>375</v>
      </c>
      <c r="F28" s="13" t="s">
        <v>414</v>
      </c>
      <c r="G28" s="13"/>
      <c r="H28" s="13"/>
      <c r="I28" s="13"/>
      <c r="J28" s="13"/>
      <c r="K28" s="13" t="s">
        <v>415</v>
      </c>
      <c r="L28" s="13"/>
    </row>
    <row r="29" customFormat="false" ht="15" hidden="false" customHeight="false" outlineLevel="0" collapsed="false">
      <c r="A29" s="13" t="s">
        <v>181</v>
      </c>
      <c r="B29" s="13" t="s">
        <v>359</v>
      </c>
      <c r="C29" s="13" t="s">
        <v>116</v>
      </c>
      <c r="D29" s="19" t="n">
        <v>9</v>
      </c>
      <c r="E29" s="13" t="s">
        <v>360</v>
      </c>
      <c r="F29" s="13" t="s">
        <v>416</v>
      </c>
      <c r="G29" s="13"/>
      <c r="H29" s="13"/>
      <c r="I29" s="13"/>
      <c r="J29" s="13"/>
      <c r="K29" s="13"/>
      <c r="L29" s="13"/>
    </row>
    <row r="30" customFormat="false" ht="23.85" hidden="false" customHeight="false" outlineLevel="0" collapsed="false">
      <c r="A30" s="13" t="s">
        <v>181</v>
      </c>
      <c r="B30" s="13" t="s">
        <v>359</v>
      </c>
      <c r="C30" s="13" t="s">
        <v>116</v>
      </c>
      <c r="D30" s="19" t="n">
        <v>10</v>
      </c>
      <c r="E30" s="13" t="s">
        <v>363</v>
      </c>
      <c r="F30" s="13" t="s">
        <v>417</v>
      </c>
      <c r="G30" s="13" t="s">
        <v>418</v>
      </c>
      <c r="H30" s="13"/>
      <c r="I30" s="13" t="s">
        <v>123</v>
      </c>
      <c r="J30" s="13"/>
      <c r="K30" s="13" t="s">
        <v>419</v>
      </c>
      <c r="L30" s="13"/>
    </row>
    <row r="31" customFormat="false" ht="15" hidden="false" customHeight="false" outlineLevel="0" collapsed="false">
      <c r="A31" s="13" t="s">
        <v>181</v>
      </c>
      <c r="B31" s="13" t="s">
        <v>359</v>
      </c>
      <c r="C31" s="13" t="s">
        <v>116</v>
      </c>
      <c r="D31" s="19" t="n">
        <v>11</v>
      </c>
      <c r="E31" s="13" t="s">
        <v>375</v>
      </c>
      <c r="F31" s="13" t="s">
        <v>420</v>
      </c>
      <c r="G31" s="13"/>
      <c r="H31" s="13"/>
      <c r="I31" s="13"/>
      <c r="J31" s="13"/>
      <c r="K31" s="13" t="s">
        <v>421</v>
      </c>
      <c r="L31" s="13"/>
    </row>
    <row r="32" customFormat="false" ht="15" hidden="false" customHeight="false" outlineLevel="0" collapsed="false">
      <c r="A32" s="13" t="s">
        <v>181</v>
      </c>
      <c r="B32" s="13" t="s">
        <v>359</v>
      </c>
      <c r="C32" s="13" t="s">
        <v>116</v>
      </c>
      <c r="D32" s="19" t="n">
        <v>12</v>
      </c>
      <c r="E32" s="13" t="s">
        <v>360</v>
      </c>
      <c r="F32" s="13" t="s">
        <v>422</v>
      </c>
      <c r="G32" s="13"/>
      <c r="H32" s="13"/>
      <c r="I32" s="13"/>
      <c r="J32" s="13"/>
      <c r="K32" s="13"/>
      <c r="L32" s="13"/>
    </row>
    <row r="33" customFormat="false" ht="15" hidden="false" customHeight="false" outlineLevel="0" collapsed="false">
      <c r="A33" s="20" t="s">
        <v>181</v>
      </c>
      <c r="B33" s="20" t="s">
        <v>359</v>
      </c>
      <c r="C33" s="20" t="s">
        <v>116</v>
      </c>
      <c r="D33" s="21" t="n">
        <v>13</v>
      </c>
      <c r="E33" s="20" t="s">
        <v>363</v>
      </c>
      <c r="F33" s="20" t="s">
        <v>423</v>
      </c>
      <c r="G33" s="20" t="s">
        <v>424</v>
      </c>
      <c r="H33" s="20"/>
      <c r="I33" s="20" t="s">
        <v>123</v>
      </c>
      <c r="J33" s="20" t="s">
        <v>370</v>
      </c>
      <c r="K33" s="20" t="s">
        <v>425</v>
      </c>
      <c r="L33" s="20" t="s">
        <v>426</v>
      </c>
    </row>
    <row r="34" customFormat="false" ht="23.85" hidden="false" customHeight="false" outlineLevel="0" collapsed="false">
      <c r="A34" s="20" t="s">
        <v>181</v>
      </c>
      <c r="B34" s="20" t="s">
        <v>359</v>
      </c>
      <c r="C34" s="20" t="s">
        <v>116</v>
      </c>
      <c r="D34" s="21" t="n">
        <v>14</v>
      </c>
      <c r="E34" s="20" t="s">
        <v>363</v>
      </c>
      <c r="F34" s="20" t="s">
        <v>427</v>
      </c>
      <c r="G34" s="20" t="s">
        <v>380</v>
      </c>
      <c r="H34" s="20" t="s">
        <v>404</v>
      </c>
      <c r="I34" s="20" t="s">
        <v>121</v>
      </c>
      <c r="J34" s="20" t="s">
        <v>370</v>
      </c>
      <c r="K34" s="20"/>
      <c r="L34" s="20"/>
    </row>
    <row r="35" customFormat="false" ht="15" hidden="false" customHeight="false" outlineLevel="0" collapsed="false">
      <c r="A35" s="13" t="s">
        <v>181</v>
      </c>
      <c r="B35" s="13" t="s">
        <v>359</v>
      </c>
      <c r="C35" s="13" t="s">
        <v>125</v>
      </c>
      <c r="D35" s="19" t="n">
        <v>1</v>
      </c>
      <c r="E35" s="13" t="s">
        <v>360</v>
      </c>
      <c r="F35" s="13" t="s">
        <v>428</v>
      </c>
      <c r="G35" s="13"/>
      <c r="H35" s="13"/>
      <c r="I35" s="13"/>
      <c r="J35" s="13"/>
      <c r="K35" s="13" t="s">
        <v>362</v>
      </c>
      <c r="L35" s="13"/>
    </row>
    <row r="36" customFormat="false" ht="15" hidden="false" customHeight="false" outlineLevel="0" collapsed="false">
      <c r="A36" s="13" t="s">
        <v>181</v>
      </c>
      <c r="B36" s="13" t="s">
        <v>359</v>
      </c>
      <c r="C36" s="13" t="s">
        <v>125</v>
      </c>
      <c r="D36" s="19" t="n">
        <v>2</v>
      </c>
      <c r="E36" s="13" t="s">
        <v>363</v>
      </c>
      <c r="F36" s="13" t="s">
        <v>429</v>
      </c>
      <c r="G36" s="13"/>
      <c r="H36" s="13" t="s">
        <v>404</v>
      </c>
      <c r="I36" s="13" t="s">
        <v>126</v>
      </c>
      <c r="J36" s="13"/>
      <c r="K36" s="13" t="s">
        <v>365</v>
      </c>
      <c r="L36" s="13"/>
    </row>
    <row r="37" customFormat="false" ht="23.85" hidden="false" customHeight="false" outlineLevel="0" collapsed="false">
      <c r="A37" s="13" t="s">
        <v>181</v>
      </c>
      <c r="B37" s="13" t="s">
        <v>359</v>
      </c>
      <c r="C37" s="13" t="s">
        <v>125</v>
      </c>
      <c r="D37" s="19" t="n">
        <v>3</v>
      </c>
      <c r="E37" s="13" t="s">
        <v>363</v>
      </c>
      <c r="F37" s="13" t="s">
        <v>430</v>
      </c>
      <c r="G37" s="13" t="s">
        <v>431</v>
      </c>
      <c r="H37" s="13" t="s">
        <v>404</v>
      </c>
      <c r="I37" s="13" t="s">
        <v>126</v>
      </c>
      <c r="J37" s="13"/>
      <c r="K37" s="13" t="s">
        <v>368</v>
      </c>
      <c r="L37" s="13"/>
    </row>
    <row r="38" customFormat="false" ht="23.85" hidden="false" customHeight="false" outlineLevel="0" collapsed="false">
      <c r="A38" s="13" t="s">
        <v>181</v>
      </c>
      <c r="B38" s="13" t="s">
        <v>359</v>
      </c>
      <c r="C38" s="13" t="s">
        <v>125</v>
      </c>
      <c r="D38" s="19" t="n">
        <v>4</v>
      </c>
      <c r="E38" s="13" t="s">
        <v>363</v>
      </c>
      <c r="F38" s="13" t="s">
        <v>432</v>
      </c>
      <c r="G38" s="13" t="s">
        <v>433</v>
      </c>
      <c r="H38" s="13" t="s">
        <v>404</v>
      </c>
      <c r="I38" s="13" t="s">
        <v>132</v>
      </c>
      <c r="J38" s="13"/>
      <c r="K38" s="13"/>
      <c r="L38" s="13"/>
    </row>
    <row r="39" customFormat="false" ht="15" hidden="false" customHeight="false" outlineLevel="0" collapsed="false">
      <c r="A39" s="13" t="s">
        <v>181</v>
      </c>
      <c r="B39" s="13" t="s">
        <v>359</v>
      </c>
      <c r="C39" s="13" t="s">
        <v>125</v>
      </c>
      <c r="D39" s="19" t="n">
        <v>5</v>
      </c>
      <c r="E39" s="13" t="s">
        <v>360</v>
      </c>
      <c r="F39" s="13" t="s">
        <v>434</v>
      </c>
      <c r="G39" s="13"/>
      <c r="H39" s="13"/>
      <c r="I39" s="13"/>
      <c r="J39" s="13"/>
      <c r="K39" s="13" t="s">
        <v>374</v>
      </c>
      <c r="L39" s="13"/>
    </row>
    <row r="40" customFormat="false" ht="23.85" hidden="false" customHeight="false" outlineLevel="0" collapsed="false">
      <c r="A40" s="13" t="s">
        <v>181</v>
      </c>
      <c r="B40" s="13" t="s">
        <v>359</v>
      </c>
      <c r="C40" s="13" t="s">
        <v>125</v>
      </c>
      <c r="D40" s="19" t="n">
        <v>6</v>
      </c>
      <c r="E40" s="13" t="s">
        <v>363</v>
      </c>
      <c r="F40" s="13" t="s">
        <v>435</v>
      </c>
      <c r="G40" s="13"/>
      <c r="H40" s="13" t="s">
        <v>184</v>
      </c>
      <c r="I40" s="13" t="s">
        <v>128</v>
      </c>
      <c r="J40" s="13"/>
      <c r="K40" s="13" t="s">
        <v>381</v>
      </c>
      <c r="L40" s="13"/>
    </row>
    <row r="41" customFormat="false" ht="35.05" hidden="false" customHeight="false" outlineLevel="0" collapsed="false">
      <c r="A41" s="20" t="s">
        <v>181</v>
      </c>
      <c r="B41" s="20" t="s">
        <v>359</v>
      </c>
      <c r="C41" s="20" t="s">
        <v>125</v>
      </c>
      <c r="D41" s="21" t="n">
        <v>7</v>
      </c>
      <c r="E41" s="20" t="s">
        <v>363</v>
      </c>
      <c r="F41" s="20" t="s">
        <v>436</v>
      </c>
      <c r="G41" s="20" t="s">
        <v>230</v>
      </c>
      <c r="H41" s="20" t="s">
        <v>184</v>
      </c>
      <c r="I41" s="20" t="s">
        <v>128</v>
      </c>
      <c r="J41" s="20" t="s">
        <v>370</v>
      </c>
      <c r="K41" s="20" t="s">
        <v>397</v>
      </c>
      <c r="L41" s="20" t="s">
        <v>437</v>
      </c>
    </row>
    <row r="42" customFormat="false" ht="15" hidden="false" customHeight="false" outlineLevel="0" collapsed="false">
      <c r="A42" s="13" t="s">
        <v>181</v>
      </c>
      <c r="B42" s="13" t="s">
        <v>359</v>
      </c>
      <c r="C42" s="13" t="s">
        <v>125</v>
      </c>
      <c r="D42" s="19" t="n">
        <v>8</v>
      </c>
      <c r="E42" s="13" t="s">
        <v>363</v>
      </c>
      <c r="F42" s="13" t="s">
        <v>438</v>
      </c>
      <c r="G42" s="13"/>
      <c r="H42" s="13" t="s">
        <v>184</v>
      </c>
      <c r="I42" s="13" t="s">
        <v>130</v>
      </c>
      <c r="J42" s="13"/>
      <c r="K42" s="13" t="s">
        <v>439</v>
      </c>
      <c r="L42" s="13"/>
    </row>
    <row r="43" customFormat="false" ht="15" hidden="false" customHeight="false" outlineLevel="0" collapsed="false">
      <c r="A43" s="20" t="s">
        <v>181</v>
      </c>
      <c r="B43" s="20" t="s">
        <v>359</v>
      </c>
      <c r="C43" s="20" t="s">
        <v>125</v>
      </c>
      <c r="D43" s="21" t="n">
        <v>9</v>
      </c>
      <c r="E43" s="20" t="s">
        <v>363</v>
      </c>
      <c r="F43" s="20" t="s">
        <v>440</v>
      </c>
      <c r="G43" s="20" t="s">
        <v>230</v>
      </c>
      <c r="H43" s="20" t="s">
        <v>184</v>
      </c>
      <c r="I43" s="20" t="s">
        <v>130</v>
      </c>
      <c r="J43" s="20" t="s">
        <v>370</v>
      </c>
      <c r="K43" s="20" t="s">
        <v>441</v>
      </c>
      <c r="L43" s="20" t="s">
        <v>442</v>
      </c>
    </row>
    <row r="44" customFormat="false" ht="15" hidden="false" customHeight="false" outlineLevel="0" collapsed="false">
      <c r="A44" s="13" t="s">
        <v>181</v>
      </c>
      <c r="B44" s="13" t="s">
        <v>359</v>
      </c>
      <c r="C44" s="13" t="s">
        <v>125</v>
      </c>
      <c r="D44" s="19" t="n">
        <v>10</v>
      </c>
      <c r="E44" s="13" t="s">
        <v>360</v>
      </c>
      <c r="F44" s="13" t="s">
        <v>443</v>
      </c>
      <c r="G44" s="13"/>
      <c r="H44" s="13"/>
      <c r="I44" s="13"/>
      <c r="J44" s="13"/>
      <c r="K44" s="13"/>
      <c r="L44" s="13"/>
    </row>
    <row r="45" customFormat="false" ht="15" hidden="false" customHeight="false" outlineLevel="0" collapsed="false">
      <c r="A45" s="13" t="s">
        <v>181</v>
      </c>
      <c r="B45" s="13" t="s">
        <v>359</v>
      </c>
      <c r="C45" s="13" t="s">
        <v>125</v>
      </c>
      <c r="D45" s="19" t="n">
        <v>11</v>
      </c>
      <c r="E45" s="13" t="s">
        <v>383</v>
      </c>
      <c r="F45" s="13" t="s">
        <v>444</v>
      </c>
      <c r="G45" s="13"/>
      <c r="H45" s="13"/>
      <c r="I45" s="13"/>
      <c r="J45" s="13"/>
      <c r="K45" s="13" t="s">
        <v>368</v>
      </c>
      <c r="L45" s="13"/>
    </row>
    <row r="46" customFormat="false" ht="15" hidden="false" customHeight="false" outlineLevel="0" collapsed="false">
      <c r="A46" s="13" t="s">
        <v>181</v>
      </c>
      <c r="B46" s="13" t="s">
        <v>359</v>
      </c>
      <c r="C46" s="13" t="s">
        <v>125</v>
      </c>
      <c r="D46" s="19" t="n">
        <v>12</v>
      </c>
      <c r="E46" s="13" t="s">
        <v>383</v>
      </c>
      <c r="F46" s="13" t="s">
        <v>445</v>
      </c>
      <c r="G46" s="13"/>
      <c r="H46" s="13"/>
      <c r="I46" s="13"/>
      <c r="J46" s="13"/>
      <c r="K46" s="13" t="s">
        <v>446</v>
      </c>
      <c r="L46" s="13"/>
    </row>
    <row r="47" customFormat="false" ht="15" hidden="false" customHeight="false" outlineLevel="0" collapsed="false">
      <c r="A47" s="13" t="s">
        <v>181</v>
      </c>
      <c r="B47" s="13" t="s">
        <v>447</v>
      </c>
      <c r="C47" s="13" t="s">
        <v>96</v>
      </c>
      <c r="D47" s="19" t="n">
        <v>1</v>
      </c>
      <c r="E47" s="13" t="s">
        <v>360</v>
      </c>
      <c r="F47" s="13" t="s">
        <v>448</v>
      </c>
      <c r="G47" s="13"/>
      <c r="H47" s="13"/>
      <c r="I47" s="13"/>
      <c r="J47" s="13"/>
      <c r="K47" s="13" t="s">
        <v>362</v>
      </c>
      <c r="L47" s="13"/>
    </row>
    <row r="48" customFormat="false" ht="15" hidden="false" customHeight="false" outlineLevel="0" collapsed="false">
      <c r="A48" s="13" t="s">
        <v>181</v>
      </c>
      <c r="B48" s="13" t="s">
        <v>447</v>
      </c>
      <c r="C48" s="13" t="s">
        <v>96</v>
      </c>
      <c r="D48" s="19" t="n">
        <v>2</v>
      </c>
      <c r="E48" s="13" t="s">
        <v>363</v>
      </c>
      <c r="F48" s="13" t="s">
        <v>449</v>
      </c>
      <c r="G48" s="13" t="s">
        <v>409</v>
      </c>
      <c r="H48" s="13"/>
      <c r="I48" s="13" t="s">
        <v>97</v>
      </c>
      <c r="J48" s="13"/>
      <c r="K48" s="13" t="s">
        <v>365</v>
      </c>
      <c r="L48" s="13"/>
    </row>
    <row r="49" customFormat="false" ht="15" hidden="false" customHeight="false" outlineLevel="0" collapsed="false">
      <c r="A49" s="13" t="s">
        <v>181</v>
      </c>
      <c r="B49" s="13" t="s">
        <v>447</v>
      </c>
      <c r="C49" s="13" t="s">
        <v>96</v>
      </c>
      <c r="D49" s="19" t="n">
        <v>3</v>
      </c>
      <c r="E49" s="13" t="s">
        <v>363</v>
      </c>
      <c r="F49" s="13" t="s">
        <v>450</v>
      </c>
      <c r="G49" s="13" t="s">
        <v>451</v>
      </c>
      <c r="H49" s="13"/>
      <c r="I49" s="13"/>
      <c r="J49" s="13"/>
      <c r="K49" s="13" t="s">
        <v>368</v>
      </c>
      <c r="L49" s="13"/>
    </row>
    <row r="50" customFormat="false" ht="23.85" hidden="false" customHeight="false" outlineLevel="0" collapsed="false">
      <c r="A50" s="13" t="s">
        <v>181</v>
      </c>
      <c r="B50" s="13" t="s">
        <v>447</v>
      </c>
      <c r="C50" s="13" t="s">
        <v>96</v>
      </c>
      <c r="D50" s="19" t="n">
        <v>4</v>
      </c>
      <c r="E50" s="13" t="s">
        <v>363</v>
      </c>
      <c r="F50" s="13" t="s">
        <v>452</v>
      </c>
      <c r="G50" s="13" t="s">
        <v>453</v>
      </c>
      <c r="H50" s="13"/>
      <c r="I50" s="13" t="s">
        <v>99</v>
      </c>
      <c r="J50" s="13"/>
      <c r="K50" s="13" t="s">
        <v>371</v>
      </c>
      <c r="L50" s="13"/>
    </row>
    <row r="51" customFormat="false" ht="23.85" hidden="false" customHeight="false" outlineLevel="0" collapsed="false">
      <c r="A51" s="13" t="s">
        <v>181</v>
      </c>
      <c r="B51" s="13" t="s">
        <v>447</v>
      </c>
      <c r="C51" s="13" t="s">
        <v>96</v>
      </c>
      <c r="D51" s="19" t="n">
        <v>5</v>
      </c>
      <c r="E51" s="13" t="s">
        <v>363</v>
      </c>
      <c r="F51" s="13" t="s">
        <v>454</v>
      </c>
      <c r="G51" s="13" t="s">
        <v>455</v>
      </c>
      <c r="H51" s="13"/>
      <c r="I51" s="13" t="s">
        <v>101</v>
      </c>
      <c r="J51" s="13"/>
      <c r="K51" s="13" t="s">
        <v>374</v>
      </c>
      <c r="L51" s="13"/>
    </row>
    <row r="52" customFormat="false" ht="15" hidden="false" customHeight="false" outlineLevel="0" collapsed="false">
      <c r="A52" s="13" t="s">
        <v>181</v>
      </c>
      <c r="B52" s="13" t="s">
        <v>447</v>
      </c>
      <c r="C52" s="13" t="s">
        <v>96</v>
      </c>
      <c r="D52" s="19" t="n">
        <v>6</v>
      </c>
      <c r="E52" s="13" t="s">
        <v>375</v>
      </c>
      <c r="F52" s="13" t="s">
        <v>456</v>
      </c>
      <c r="G52" s="13"/>
      <c r="H52" s="13"/>
      <c r="I52" s="13"/>
      <c r="J52" s="13"/>
      <c r="K52" s="13" t="s">
        <v>457</v>
      </c>
      <c r="L52" s="13"/>
    </row>
    <row r="53" customFormat="false" ht="15" hidden="false" customHeight="false" outlineLevel="0" collapsed="false">
      <c r="A53" s="13" t="s">
        <v>181</v>
      </c>
      <c r="B53" s="13" t="s">
        <v>447</v>
      </c>
      <c r="C53" s="13" t="s">
        <v>96</v>
      </c>
      <c r="D53" s="19" t="n">
        <v>7</v>
      </c>
      <c r="E53" s="13" t="s">
        <v>363</v>
      </c>
      <c r="F53" s="13" t="s">
        <v>458</v>
      </c>
      <c r="G53" s="13" t="s">
        <v>96</v>
      </c>
      <c r="H53" s="13" t="s">
        <v>184</v>
      </c>
      <c r="I53" s="13" t="s">
        <v>97</v>
      </c>
      <c r="J53" s="13"/>
      <c r="K53" s="13" t="s">
        <v>439</v>
      </c>
      <c r="L53" s="13"/>
    </row>
    <row r="54" customFormat="false" ht="23.85" hidden="false" customHeight="false" outlineLevel="0" collapsed="false">
      <c r="A54" s="13" t="s">
        <v>181</v>
      </c>
      <c r="B54" s="13" t="s">
        <v>447</v>
      </c>
      <c r="C54" s="13" t="s">
        <v>96</v>
      </c>
      <c r="D54" s="19" t="n">
        <v>8</v>
      </c>
      <c r="E54" s="13" t="s">
        <v>363</v>
      </c>
      <c r="F54" s="13" t="s">
        <v>459</v>
      </c>
      <c r="G54" s="13" t="s">
        <v>96</v>
      </c>
      <c r="H54" s="13" t="s">
        <v>184</v>
      </c>
      <c r="I54" s="13" t="s">
        <v>105</v>
      </c>
      <c r="J54" s="13"/>
      <c r="K54" s="13" t="s">
        <v>381</v>
      </c>
      <c r="L54" s="13"/>
    </row>
    <row r="55" customFormat="false" ht="15" hidden="false" customHeight="false" outlineLevel="0" collapsed="false">
      <c r="A55" s="13" t="s">
        <v>181</v>
      </c>
      <c r="B55" s="13" t="s">
        <v>447</v>
      </c>
      <c r="C55" s="13" t="s">
        <v>96</v>
      </c>
      <c r="D55" s="19" t="n">
        <v>9</v>
      </c>
      <c r="E55" s="13" t="s">
        <v>360</v>
      </c>
      <c r="F55" s="13" t="s">
        <v>460</v>
      </c>
      <c r="G55" s="13"/>
      <c r="H55" s="13"/>
      <c r="I55" s="13"/>
      <c r="J55" s="13"/>
      <c r="K55" s="13"/>
      <c r="L55" s="13"/>
    </row>
    <row r="56" customFormat="false" ht="15" hidden="false" customHeight="false" outlineLevel="0" collapsed="false">
      <c r="A56" s="13" t="s">
        <v>181</v>
      </c>
      <c r="B56" s="13" t="s">
        <v>447</v>
      </c>
      <c r="C56" s="13" t="s">
        <v>96</v>
      </c>
      <c r="D56" s="19" t="n">
        <v>10</v>
      </c>
      <c r="E56" s="13" t="s">
        <v>360</v>
      </c>
      <c r="F56" s="13" t="s">
        <v>461</v>
      </c>
      <c r="G56" s="13"/>
      <c r="H56" s="13"/>
      <c r="I56" s="13"/>
      <c r="J56" s="13"/>
      <c r="K56" s="13" t="s">
        <v>419</v>
      </c>
      <c r="L56" s="13"/>
    </row>
    <row r="57" customFormat="false" ht="15" hidden="false" customHeight="false" outlineLevel="0" collapsed="false">
      <c r="A57" s="13" t="s">
        <v>181</v>
      </c>
      <c r="B57" s="13" t="s">
        <v>447</v>
      </c>
      <c r="C57" s="13" t="s">
        <v>96</v>
      </c>
      <c r="D57" s="19" t="n">
        <v>11</v>
      </c>
      <c r="E57" s="13" t="s">
        <v>363</v>
      </c>
      <c r="F57" s="13" t="s">
        <v>462</v>
      </c>
      <c r="G57" s="13" t="s">
        <v>141</v>
      </c>
      <c r="H57" s="13" t="s">
        <v>184</v>
      </c>
      <c r="I57" s="13" t="s">
        <v>101</v>
      </c>
      <c r="J57" s="13"/>
      <c r="K57" s="13" t="s">
        <v>425</v>
      </c>
      <c r="L57" s="13"/>
    </row>
    <row r="58" customFormat="false" ht="15" hidden="false" customHeight="false" outlineLevel="0" collapsed="false">
      <c r="A58" s="13" t="s">
        <v>181</v>
      </c>
      <c r="B58" s="13" t="s">
        <v>447</v>
      </c>
      <c r="C58" s="13" t="s">
        <v>96</v>
      </c>
      <c r="D58" s="19" t="n">
        <v>12</v>
      </c>
      <c r="E58" s="13" t="s">
        <v>363</v>
      </c>
      <c r="F58" s="13" t="s">
        <v>463</v>
      </c>
      <c r="G58" s="13" t="s">
        <v>96</v>
      </c>
      <c r="H58" s="13" t="s">
        <v>184</v>
      </c>
      <c r="I58" s="13" t="s">
        <v>105</v>
      </c>
      <c r="J58" s="13"/>
      <c r="K58" s="13" t="s">
        <v>464</v>
      </c>
      <c r="L58" s="13"/>
    </row>
    <row r="59" customFormat="false" ht="15" hidden="false" customHeight="false" outlineLevel="0" collapsed="false">
      <c r="A59" s="13" t="s">
        <v>181</v>
      </c>
      <c r="B59" s="13" t="s">
        <v>447</v>
      </c>
      <c r="C59" s="13" t="s">
        <v>96</v>
      </c>
      <c r="D59" s="19" t="n">
        <v>13</v>
      </c>
      <c r="E59" s="13" t="s">
        <v>375</v>
      </c>
      <c r="F59" s="13" t="s">
        <v>465</v>
      </c>
      <c r="G59" s="13"/>
      <c r="H59" s="13"/>
      <c r="I59" s="13"/>
      <c r="J59" s="13"/>
      <c r="K59" s="13" t="s">
        <v>466</v>
      </c>
      <c r="L59" s="13"/>
    </row>
    <row r="60" customFormat="false" ht="15" hidden="false" customHeight="false" outlineLevel="0" collapsed="false">
      <c r="A60" s="13" t="s">
        <v>181</v>
      </c>
      <c r="B60" s="13" t="s">
        <v>447</v>
      </c>
      <c r="C60" s="13" t="s">
        <v>96</v>
      </c>
      <c r="D60" s="19" t="n">
        <v>14</v>
      </c>
      <c r="E60" s="13" t="s">
        <v>360</v>
      </c>
      <c r="F60" s="13" t="s">
        <v>467</v>
      </c>
      <c r="G60" s="13"/>
      <c r="H60" s="13"/>
      <c r="I60" s="13"/>
      <c r="J60" s="13"/>
      <c r="K60" s="13"/>
      <c r="L60" s="13"/>
    </row>
    <row r="61" customFormat="false" ht="23.85" hidden="false" customHeight="false" outlineLevel="0" collapsed="false">
      <c r="A61" s="13" t="s">
        <v>181</v>
      </c>
      <c r="B61" s="13" t="s">
        <v>447</v>
      </c>
      <c r="C61" s="13" t="s">
        <v>96</v>
      </c>
      <c r="D61" s="19" t="n">
        <v>15</v>
      </c>
      <c r="E61" s="13" t="s">
        <v>363</v>
      </c>
      <c r="F61" s="13" t="s">
        <v>468</v>
      </c>
      <c r="G61" s="13" t="s">
        <v>469</v>
      </c>
      <c r="H61" s="13" t="s">
        <v>184</v>
      </c>
      <c r="I61" s="13" t="s">
        <v>99</v>
      </c>
      <c r="J61" s="13"/>
      <c r="K61" s="13" t="s">
        <v>470</v>
      </c>
      <c r="L61" s="13"/>
    </row>
    <row r="62" customFormat="false" ht="15" hidden="false" customHeight="false" outlineLevel="0" collapsed="false">
      <c r="A62" s="13" t="s">
        <v>181</v>
      </c>
      <c r="B62" s="13" t="s">
        <v>447</v>
      </c>
      <c r="C62" s="13" t="s">
        <v>107</v>
      </c>
      <c r="D62" s="19" t="n">
        <v>1</v>
      </c>
      <c r="E62" s="13" t="s">
        <v>360</v>
      </c>
      <c r="F62" s="13" t="s">
        <v>471</v>
      </c>
      <c r="G62" s="13"/>
      <c r="H62" s="13"/>
      <c r="I62" s="13"/>
      <c r="J62" s="13"/>
      <c r="K62" s="13" t="s">
        <v>362</v>
      </c>
      <c r="L62" s="13"/>
    </row>
    <row r="63" customFormat="false" ht="15" hidden="false" customHeight="false" outlineLevel="0" collapsed="false">
      <c r="A63" s="13" t="s">
        <v>181</v>
      </c>
      <c r="B63" s="13" t="s">
        <v>447</v>
      </c>
      <c r="C63" s="13" t="s">
        <v>107</v>
      </c>
      <c r="D63" s="19" t="n">
        <v>2</v>
      </c>
      <c r="E63" s="13" t="s">
        <v>363</v>
      </c>
      <c r="F63" s="13" t="s">
        <v>472</v>
      </c>
      <c r="G63" s="13" t="s">
        <v>473</v>
      </c>
      <c r="H63" s="13" t="s">
        <v>404</v>
      </c>
      <c r="I63" s="13" t="s">
        <v>108</v>
      </c>
      <c r="J63" s="13"/>
      <c r="K63" s="13" t="s">
        <v>365</v>
      </c>
      <c r="L63" s="13"/>
    </row>
    <row r="64" customFormat="false" ht="15" hidden="false" customHeight="false" outlineLevel="0" collapsed="false">
      <c r="A64" s="13" t="s">
        <v>181</v>
      </c>
      <c r="B64" s="13" t="s">
        <v>447</v>
      </c>
      <c r="C64" s="13" t="s">
        <v>107</v>
      </c>
      <c r="D64" s="19" t="n">
        <v>3</v>
      </c>
      <c r="E64" s="13" t="s">
        <v>363</v>
      </c>
      <c r="F64" s="13" t="s">
        <v>474</v>
      </c>
      <c r="G64" s="13" t="s">
        <v>409</v>
      </c>
      <c r="H64" s="13" t="s">
        <v>404</v>
      </c>
      <c r="I64" s="13" t="s">
        <v>108</v>
      </c>
      <c r="J64" s="13"/>
      <c r="K64" s="13" t="s">
        <v>368</v>
      </c>
      <c r="L64" s="13"/>
    </row>
    <row r="65" customFormat="false" ht="23.85" hidden="false" customHeight="false" outlineLevel="0" collapsed="false">
      <c r="A65" s="13" t="s">
        <v>181</v>
      </c>
      <c r="B65" s="13" t="s">
        <v>447</v>
      </c>
      <c r="C65" s="13" t="s">
        <v>107</v>
      </c>
      <c r="D65" s="19" t="n">
        <v>4</v>
      </c>
      <c r="E65" s="13" t="s">
        <v>363</v>
      </c>
      <c r="F65" s="13" t="s">
        <v>475</v>
      </c>
      <c r="G65" s="13" t="s">
        <v>476</v>
      </c>
      <c r="H65" s="13"/>
      <c r="I65" s="13" t="s">
        <v>110</v>
      </c>
      <c r="J65" s="13"/>
      <c r="K65" s="13" t="s">
        <v>371</v>
      </c>
      <c r="L65" s="13"/>
    </row>
    <row r="66" customFormat="false" ht="15" hidden="false" customHeight="false" outlineLevel="0" collapsed="false">
      <c r="A66" s="13" t="s">
        <v>181</v>
      </c>
      <c r="B66" s="13" t="s">
        <v>447</v>
      </c>
      <c r="C66" s="13" t="s">
        <v>107</v>
      </c>
      <c r="D66" s="19" t="n">
        <v>5</v>
      </c>
      <c r="E66" s="13" t="s">
        <v>375</v>
      </c>
      <c r="F66" s="13" t="s">
        <v>420</v>
      </c>
      <c r="G66" s="13"/>
      <c r="H66" s="13"/>
      <c r="I66" s="13"/>
      <c r="J66" s="13"/>
      <c r="K66" s="13" t="s">
        <v>477</v>
      </c>
      <c r="L66" s="13"/>
    </row>
    <row r="67" customFormat="false" ht="15" hidden="false" customHeight="false" outlineLevel="0" collapsed="false">
      <c r="A67" s="13" t="s">
        <v>181</v>
      </c>
      <c r="B67" s="13" t="s">
        <v>447</v>
      </c>
      <c r="C67" s="13" t="s">
        <v>107</v>
      </c>
      <c r="D67" s="19" t="n">
        <v>6</v>
      </c>
      <c r="E67" s="13" t="s">
        <v>363</v>
      </c>
      <c r="F67" s="13" t="s">
        <v>478</v>
      </c>
      <c r="G67" s="13" t="s">
        <v>479</v>
      </c>
      <c r="H67" s="13" t="s">
        <v>404</v>
      </c>
      <c r="I67" s="13" t="s">
        <v>108</v>
      </c>
      <c r="J67" s="13"/>
      <c r="K67" s="13" t="s">
        <v>397</v>
      </c>
      <c r="L67" s="13"/>
    </row>
    <row r="68" customFormat="false" ht="15" hidden="false" customHeight="false" outlineLevel="0" collapsed="false">
      <c r="A68" s="13" t="s">
        <v>181</v>
      </c>
      <c r="B68" s="13" t="s">
        <v>447</v>
      </c>
      <c r="C68" s="13" t="s">
        <v>107</v>
      </c>
      <c r="D68" s="19" t="n">
        <v>7</v>
      </c>
      <c r="E68" s="13" t="s">
        <v>363</v>
      </c>
      <c r="F68" s="13" t="s">
        <v>480</v>
      </c>
      <c r="G68" s="13" t="s">
        <v>481</v>
      </c>
      <c r="H68" s="13"/>
      <c r="I68" s="13" t="s">
        <v>110</v>
      </c>
      <c r="J68" s="13"/>
      <c r="K68" s="13" t="s">
        <v>374</v>
      </c>
      <c r="L68" s="13"/>
    </row>
    <row r="69" customFormat="false" ht="15" hidden="false" customHeight="false" outlineLevel="0" collapsed="false">
      <c r="A69" s="13" t="s">
        <v>181</v>
      </c>
      <c r="B69" s="13" t="s">
        <v>447</v>
      </c>
      <c r="C69" s="13" t="s">
        <v>107</v>
      </c>
      <c r="D69" s="19" t="n">
        <v>8</v>
      </c>
      <c r="E69" s="13" t="s">
        <v>363</v>
      </c>
      <c r="F69" s="13" t="s">
        <v>482</v>
      </c>
      <c r="G69" s="13" t="s">
        <v>473</v>
      </c>
      <c r="H69" s="13"/>
      <c r="I69" s="13" t="s">
        <v>228</v>
      </c>
      <c r="J69" s="13"/>
      <c r="K69" s="13" t="s">
        <v>439</v>
      </c>
      <c r="L69" s="13"/>
    </row>
    <row r="70" customFormat="false" ht="15" hidden="false" customHeight="false" outlineLevel="0" collapsed="false">
      <c r="A70" s="13" t="s">
        <v>181</v>
      </c>
      <c r="B70" s="13" t="s">
        <v>447</v>
      </c>
      <c r="C70" s="13" t="s">
        <v>107</v>
      </c>
      <c r="D70" s="19" t="n">
        <v>9</v>
      </c>
      <c r="E70" s="13" t="s">
        <v>360</v>
      </c>
      <c r="F70" s="13" t="s">
        <v>483</v>
      </c>
      <c r="G70" s="13"/>
      <c r="H70" s="13"/>
      <c r="I70" s="13"/>
      <c r="J70" s="13"/>
      <c r="K70" s="13"/>
      <c r="L70" s="13"/>
    </row>
    <row r="71" customFormat="false" ht="15" hidden="false" customHeight="false" outlineLevel="0" collapsed="false">
      <c r="A71" s="13" t="s">
        <v>181</v>
      </c>
      <c r="B71" s="13" t="s">
        <v>447</v>
      </c>
      <c r="C71" s="13" t="s">
        <v>107</v>
      </c>
      <c r="D71" s="19" t="n">
        <v>10</v>
      </c>
      <c r="E71" s="13" t="s">
        <v>363</v>
      </c>
      <c r="F71" s="13" t="s">
        <v>484</v>
      </c>
      <c r="G71" s="13" t="s">
        <v>485</v>
      </c>
      <c r="H71" s="13"/>
      <c r="I71" s="13" t="s">
        <v>112</v>
      </c>
      <c r="J71" s="13"/>
      <c r="K71" s="13" t="s">
        <v>486</v>
      </c>
      <c r="L71" s="13"/>
    </row>
    <row r="72" customFormat="false" ht="15" hidden="false" customHeight="false" outlineLevel="0" collapsed="false">
      <c r="A72" s="13" t="s">
        <v>181</v>
      </c>
      <c r="B72" s="13" t="s">
        <v>447</v>
      </c>
      <c r="C72" s="13" t="s">
        <v>107</v>
      </c>
      <c r="D72" s="19" t="n">
        <v>11</v>
      </c>
      <c r="E72" s="13" t="s">
        <v>363</v>
      </c>
      <c r="F72" s="13" t="s">
        <v>487</v>
      </c>
      <c r="G72" s="13" t="s">
        <v>473</v>
      </c>
      <c r="H72" s="13"/>
      <c r="I72" s="13" t="s">
        <v>114</v>
      </c>
      <c r="J72" s="13"/>
      <c r="K72" s="13" t="s">
        <v>488</v>
      </c>
      <c r="L72" s="13"/>
    </row>
    <row r="73" customFormat="false" ht="23.85" hidden="false" customHeight="false" outlineLevel="0" collapsed="false">
      <c r="A73" s="13" t="s">
        <v>181</v>
      </c>
      <c r="B73" s="13" t="s">
        <v>447</v>
      </c>
      <c r="C73" s="13" t="s">
        <v>107</v>
      </c>
      <c r="D73" s="19" t="n">
        <v>12</v>
      </c>
      <c r="E73" s="13" t="s">
        <v>383</v>
      </c>
      <c r="F73" s="13" t="s">
        <v>489</v>
      </c>
      <c r="G73" s="13"/>
      <c r="H73" s="13"/>
      <c r="I73" s="13"/>
      <c r="J73" s="13"/>
      <c r="K73" s="13" t="s">
        <v>374</v>
      </c>
      <c r="L73" s="13"/>
    </row>
    <row r="74" customFormat="false" ht="15" hidden="false" customHeight="false" outlineLevel="0" collapsed="false">
      <c r="A74" s="13" t="s">
        <v>181</v>
      </c>
      <c r="B74" s="13" t="s">
        <v>447</v>
      </c>
      <c r="C74" s="13" t="s">
        <v>116</v>
      </c>
      <c r="D74" s="19" t="n">
        <v>1</v>
      </c>
      <c r="E74" s="13" t="s">
        <v>360</v>
      </c>
      <c r="F74" s="13" t="s">
        <v>401</v>
      </c>
      <c r="G74" s="13"/>
      <c r="H74" s="13"/>
      <c r="I74" s="13"/>
      <c r="J74" s="13"/>
      <c r="K74" s="13" t="s">
        <v>362</v>
      </c>
      <c r="L74" s="13"/>
    </row>
    <row r="75" customFormat="false" ht="15" hidden="false" customHeight="false" outlineLevel="0" collapsed="false">
      <c r="A75" s="13" t="s">
        <v>181</v>
      </c>
      <c r="B75" s="13" t="s">
        <v>447</v>
      </c>
      <c r="C75" s="13" t="s">
        <v>116</v>
      </c>
      <c r="D75" s="19" t="n">
        <v>2</v>
      </c>
      <c r="E75" s="13" t="s">
        <v>363</v>
      </c>
      <c r="F75" s="13" t="s">
        <v>490</v>
      </c>
      <c r="G75" s="13" t="s">
        <v>473</v>
      </c>
      <c r="H75" s="13" t="s">
        <v>491</v>
      </c>
      <c r="I75" s="13" t="s">
        <v>117</v>
      </c>
      <c r="J75" s="13"/>
      <c r="K75" s="13" t="s">
        <v>365</v>
      </c>
      <c r="L75" s="13"/>
    </row>
    <row r="76" customFormat="false" ht="15" hidden="false" customHeight="false" outlineLevel="0" collapsed="false">
      <c r="A76" s="13" t="s">
        <v>181</v>
      </c>
      <c r="B76" s="13" t="s">
        <v>447</v>
      </c>
      <c r="C76" s="13" t="s">
        <v>116</v>
      </c>
      <c r="D76" s="19" t="n">
        <v>3</v>
      </c>
      <c r="E76" s="13" t="s">
        <v>363</v>
      </c>
      <c r="F76" s="13" t="s">
        <v>492</v>
      </c>
      <c r="G76" s="13" t="s">
        <v>473</v>
      </c>
      <c r="H76" s="13" t="s">
        <v>184</v>
      </c>
      <c r="I76" s="13" t="s">
        <v>117</v>
      </c>
      <c r="J76" s="13"/>
      <c r="K76" s="13" t="s">
        <v>368</v>
      </c>
      <c r="L76" s="13"/>
    </row>
    <row r="77" customFormat="false" ht="15" hidden="false" customHeight="false" outlineLevel="0" collapsed="false">
      <c r="A77" s="13" t="s">
        <v>181</v>
      </c>
      <c r="B77" s="13" t="s">
        <v>447</v>
      </c>
      <c r="C77" s="13" t="s">
        <v>116</v>
      </c>
      <c r="D77" s="19" t="n">
        <v>4</v>
      </c>
      <c r="E77" s="13" t="s">
        <v>375</v>
      </c>
      <c r="F77" s="13" t="s">
        <v>493</v>
      </c>
      <c r="G77" s="13"/>
      <c r="H77" s="13"/>
      <c r="I77" s="13"/>
      <c r="J77" s="13"/>
      <c r="K77" s="13" t="s">
        <v>494</v>
      </c>
      <c r="L77" s="13"/>
    </row>
    <row r="78" customFormat="false" ht="23.85" hidden="false" customHeight="false" outlineLevel="0" collapsed="false">
      <c r="A78" s="13" t="s">
        <v>181</v>
      </c>
      <c r="B78" s="13" t="s">
        <v>447</v>
      </c>
      <c r="C78" s="13" t="s">
        <v>116</v>
      </c>
      <c r="D78" s="19" t="n">
        <v>5</v>
      </c>
      <c r="E78" s="13" t="s">
        <v>363</v>
      </c>
      <c r="F78" s="13" t="s">
        <v>495</v>
      </c>
      <c r="G78" s="13" t="s">
        <v>409</v>
      </c>
      <c r="H78" s="13" t="s">
        <v>404</v>
      </c>
      <c r="I78" s="13" t="s">
        <v>117</v>
      </c>
      <c r="J78" s="13"/>
      <c r="K78" s="13" t="s">
        <v>381</v>
      </c>
      <c r="L78" s="13"/>
    </row>
    <row r="79" customFormat="false" ht="15" hidden="false" customHeight="false" outlineLevel="0" collapsed="false">
      <c r="A79" s="13" t="s">
        <v>181</v>
      </c>
      <c r="B79" s="13" t="s">
        <v>447</v>
      </c>
      <c r="C79" s="13" t="s">
        <v>116</v>
      </c>
      <c r="D79" s="19" t="n">
        <v>6</v>
      </c>
      <c r="E79" s="13" t="s">
        <v>363</v>
      </c>
      <c r="F79" s="13" t="s">
        <v>496</v>
      </c>
      <c r="G79" s="13" t="s">
        <v>409</v>
      </c>
      <c r="H79" s="13"/>
      <c r="I79" s="13" t="s">
        <v>117</v>
      </c>
      <c r="J79" s="13"/>
      <c r="K79" s="13" t="s">
        <v>371</v>
      </c>
      <c r="L79" s="13"/>
    </row>
    <row r="80" customFormat="false" ht="23.85" hidden="false" customHeight="false" outlineLevel="0" collapsed="false">
      <c r="A80" s="13" t="s">
        <v>181</v>
      </c>
      <c r="B80" s="13" t="s">
        <v>447</v>
      </c>
      <c r="C80" s="13" t="s">
        <v>116</v>
      </c>
      <c r="D80" s="19" t="n">
        <v>7</v>
      </c>
      <c r="E80" s="13" t="s">
        <v>363</v>
      </c>
      <c r="F80" s="13" t="s">
        <v>497</v>
      </c>
      <c r="G80" s="13" t="s">
        <v>498</v>
      </c>
      <c r="H80" s="13" t="s">
        <v>404</v>
      </c>
      <c r="I80" s="13" t="s">
        <v>119</v>
      </c>
      <c r="J80" s="13"/>
      <c r="K80" s="13" t="s">
        <v>397</v>
      </c>
      <c r="L80" s="13"/>
    </row>
    <row r="81" customFormat="false" ht="15" hidden="false" customHeight="false" outlineLevel="0" collapsed="false">
      <c r="A81" s="13" t="s">
        <v>181</v>
      </c>
      <c r="B81" s="13" t="s">
        <v>447</v>
      </c>
      <c r="C81" s="13" t="s">
        <v>116</v>
      </c>
      <c r="D81" s="19" t="n">
        <v>8</v>
      </c>
      <c r="E81" s="13" t="s">
        <v>375</v>
      </c>
      <c r="F81" s="13" t="s">
        <v>414</v>
      </c>
      <c r="G81" s="13"/>
      <c r="H81" s="13"/>
      <c r="I81" s="13"/>
      <c r="J81" s="13"/>
      <c r="K81" s="13" t="s">
        <v>499</v>
      </c>
      <c r="L81" s="13"/>
    </row>
    <row r="82" customFormat="false" ht="23.85" hidden="false" customHeight="false" outlineLevel="0" collapsed="false">
      <c r="A82" s="13" t="s">
        <v>181</v>
      </c>
      <c r="B82" s="13" t="s">
        <v>447</v>
      </c>
      <c r="C82" s="13" t="s">
        <v>116</v>
      </c>
      <c r="D82" s="19" t="n">
        <v>9</v>
      </c>
      <c r="E82" s="13" t="s">
        <v>363</v>
      </c>
      <c r="F82" s="13" t="s">
        <v>500</v>
      </c>
      <c r="G82" s="13" t="s">
        <v>501</v>
      </c>
      <c r="H82" s="13"/>
      <c r="I82" s="13" t="s">
        <v>123</v>
      </c>
      <c r="J82" s="13"/>
      <c r="K82" s="13" t="s">
        <v>419</v>
      </c>
      <c r="L82" s="13"/>
    </row>
    <row r="83" customFormat="false" ht="15" hidden="false" customHeight="false" outlineLevel="0" collapsed="false">
      <c r="A83" s="13" t="s">
        <v>181</v>
      </c>
      <c r="B83" s="13" t="s">
        <v>447</v>
      </c>
      <c r="C83" s="13" t="s">
        <v>116</v>
      </c>
      <c r="D83" s="19" t="n">
        <v>10</v>
      </c>
      <c r="E83" s="13" t="s">
        <v>360</v>
      </c>
      <c r="F83" s="13" t="s">
        <v>416</v>
      </c>
      <c r="G83" s="13"/>
      <c r="H83" s="13"/>
      <c r="I83" s="13"/>
      <c r="J83" s="13"/>
      <c r="K83" s="13"/>
      <c r="L83" s="13"/>
    </row>
    <row r="84" customFormat="false" ht="15" hidden="false" customHeight="false" outlineLevel="0" collapsed="false">
      <c r="A84" s="13" t="s">
        <v>181</v>
      </c>
      <c r="B84" s="13" t="s">
        <v>447</v>
      </c>
      <c r="C84" s="13" t="s">
        <v>116</v>
      </c>
      <c r="D84" s="19" t="n">
        <v>11</v>
      </c>
      <c r="E84" s="13" t="s">
        <v>375</v>
      </c>
      <c r="F84" s="13" t="s">
        <v>502</v>
      </c>
      <c r="G84" s="13"/>
      <c r="H84" s="13"/>
      <c r="I84" s="13"/>
      <c r="J84" s="13"/>
      <c r="K84" s="13" t="s">
        <v>503</v>
      </c>
      <c r="L84" s="13"/>
    </row>
    <row r="85" customFormat="false" ht="15" hidden="false" customHeight="false" outlineLevel="0" collapsed="false">
      <c r="A85" s="13" t="s">
        <v>181</v>
      </c>
      <c r="B85" s="13" t="s">
        <v>447</v>
      </c>
      <c r="C85" s="13" t="s">
        <v>116</v>
      </c>
      <c r="D85" s="19" t="n">
        <v>12</v>
      </c>
      <c r="E85" s="13" t="s">
        <v>363</v>
      </c>
      <c r="F85" s="13" t="s">
        <v>504</v>
      </c>
      <c r="G85" s="13" t="s">
        <v>479</v>
      </c>
      <c r="H85" s="13"/>
      <c r="I85" s="13" t="s">
        <v>123</v>
      </c>
      <c r="J85" s="13"/>
      <c r="K85" s="13" t="s">
        <v>470</v>
      </c>
      <c r="L85" s="13"/>
    </row>
    <row r="86" customFormat="false" ht="15" hidden="false" customHeight="false" outlineLevel="0" collapsed="false">
      <c r="A86" s="13" t="s">
        <v>181</v>
      </c>
      <c r="B86" s="13" t="s">
        <v>447</v>
      </c>
      <c r="C86" s="13" t="s">
        <v>116</v>
      </c>
      <c r="D86" s="19" t="n">
        <v>13</v>
      </c>
      <c r="E86" s="13" t="s">
        <v>363</v>
      </c>
      <c r="F86" s="13" t="s">
        <v>505</v>
      </c>
      <c r="G86" s="13" t="s">
        <v>481</v>
      </c>
      <c r="H86" s="13"/>
      <c r="I86" s="13" t="s">
        <v>123</v>
      </c>
      <c r="J86" s="13"/>
      <c r="K86" s="13" t="s">
        <v>425</v>
      </c>
      <c r="L86" s="13"/>
    </row>
    <row r="87" customFormat="false" ht="15" hidden="false" customHeight="false" outlineLevel="0" collapsed="false">
      <c r="A87" s="13" t="s">
        <v>181</v>
      </c>
      <c r="B87" s="13" t="s">
        <v>447</v>
      </c>
      <c r="C87" s="13" t="s">
        <v>116</v>
      </c>
      <c r="D87" s="19" t="n">
        <v>14</v>
      </c>
      <c r="E87" s="13" t="s">
        <v>360</v>
      </c>
      <c r="F87" s="13" t="s">
        <v>422</v>
      </c>
      <c r="G87" s="13"/>
      <c r="H87" s="13"/>
      <c r="I87" s="13"/>
      <c r="J87" s="13"/>
      <c r="K87" s="13"/>
      <c r="L87" s="13"/>
    </row>
    <row r="88" customFormat="false" ht="15" hidden="false" customHeight="false" outlineLevel="0" collapsed="false">
      <c r="A88" s="13" t="s">
        <v>181</v>
      </c>
      <c r="B88" s="13" t="s">
        <v>447</v>
      </c>
      <c r="C88" s="13" t="s">
        <v>116</v>
      </c>
      <c r="D88" s="19" t="n">
        <v>15</v>
      </c>
      <c r="E88" s="13" t="s">
        <v>360</v>
      </c>
      <c r="F88" s="13" t="s">
        <v>506</v>
      </c>
      <c r="G88" s="13"/>
      <c r="H88" s="13"/>
      <c r="I88" s="13"/>
      <c r="J88" s="13"/>
      <c r="K88" s="13" t="s">
        <v>507</v>
      </c>
      <c r="L88" s="13"/>
    </row>
    <row r="89" customFormat="false" ht="15" hidden="false" customHeight="false" outlineLevel="0" collapsed="false">
      <c r="A89" s="13" t="s">
        <v>181</v>
      </c>
      <c r="B89" s="13" t="s">
        <v>447</v>
      </c>
      <c r="C89" s="13" t="s">
        <v>116</v>
      </c>
      <c r="D89" s="19" t="n">
        <v>16</v>
      </c>
      <c r="E89" s="13" t="s">
        <v>363</v>
      </c>
      <c r="F89" s="13" t="s">
        <v>508</v>
      </c>
      <c r="G89" s="13" t="s">
        <v>473</v>
      </c>
      <c r="H89" s="13" t="s">
        <v>404</v>
      </c>
      <c r="I89" s="13" t="s">
        <v>121</v>
      </c>
      <c r="J89" s="13"/>
      <c r="K89" s="13" t="s">
        <v>509</v>
      </c>
      <c r="L89" s="13"/>
    </row>
    <row r="90" customFormat="false" ht="15" hidden="false" customHeight="false" outlineLevel="0" collapsed="false">
      <c r="A90" s="13" t="s">
        <v>181</v>
      </c>
      <c r="B90" s="13" t="s">
        <v>447</v>
      </c>
      <c r="C90" s="13" t="s">
        <v>116</v>
      </c>
      <c r="D90" s="19" t="n">
        <v>17</v>
      </c>
      <c r="E90" s="13" t="s">
        <v>363</v>
      </c>
      <c r="F90" s="13" t="s">
        <v>510</v>
      </c>
      <c r="G90" s="13" t="s">
        <v>409</v>
      </c>
      <c r="H90" s="13" t="s">
        <v>404</v>
      </c>
      <c r="I90" s="13" t="s">
        <v>121</v>
      </c>
      <c r="J90" s="13"/>
      <c r="K90" s="13" t="s">
        <v>511</v>
      </c>
      <c r="L90" s="13"/>
    </row>
    <row r="91" customFormat="false" ht="15" hidden="false" customHeight="false" outlineLevel="0" collapsed="false">
      <c r="A91" s="13" t="s">
        <v>181</v>
      </c>
      <c r="B91" s="13" t="s">
        <v>447</v>
      </c>
      <c r="C91" s="13" t="s">
        <v>116</v>
      </c>
      <c r="D91" s="19" t="n">
        <v>18</v>
      </c>
      <c r="E91" s="13" t="s">
        <v>360</v>
      </c>
      <c r="F91" s="13" t="s">
        <v>512</v>
      </c>
      <c r="G91" s="13"/>
      <c r="H91" s="13"/>
      <c r="I91" s="13"/>
      <c r="J91" s="13"/>
      <c r="K91" s="13"/>
      <c r="L91" s="13"/>
    </row>
    <row r="92" customFormat="false" ht="15" hidden="false" customHeight="false" outlineLevel="0" collapsed="false">
      <c r="A92" s="13" t="s">
        <v>181</v>
      </c>
      <c r="B92" s="13" t="s">
        <v>447</v>
      </c>
      <c r="C92" s="13" t="s">
        <v>125</v>
      </c>
      <c r="D92" s="19" t="n">
        <v>1</v>
      </c>
      <c r="E92" s="13" t="s">
        <v>360</v>
      </c>
      <c r="F92" s="13" t="s">
        <v>428</v>
      </c>
      <c r="G92" s="13"/>
      <c r="H92" s="13"/>
      <c r="I92" s="13"/>
      <c r="J92" s="13"/>
      <c r="K92" s="13" t="s">
        <v>362</v>
      </c>
      <c r="L92" s="13"/>
    </row>
    <row r="93" customFormat="false" ht="15" hidden="false" customHeight="false" outlineLevel="0" collapsed="false">
      <c r="A93" s="13" t="s">
        <v>181</v>
      </c>
      <c r="B93" s="13" t="s">
        <v>447</v>
      </c>
      <c r="C93" s="13" t="s">
        <v>125</v>
      </c>
      <c r="D93" s="19" t="n">
        <v>2</v>
      </c>
      <c r="E93" s="13" t="s">
        <v>363</v>
      </c>
      <c r="F93" s="13" t="s">
        <v>513</v>
      </c>
      <c r="G93" s="13" t="s">
        <v>514</v>
      </c>
      <c r="H93" s="13" t="s">
        <v>404</v>
      </c>
      <c r="I93" s="13" t="s">
        <v>126</v>
      </c>
      <c r="J93" s="13"/>
      <c r="K93" s="13" t="s">
        <v>365</v>
      </c>
      <c r="L93" s="13"/>
    </row>
    <row r="94" customFormat="false" ht="23.85" hidden="false" customHeight="false" outlineLevel="0" collapsed="false">
      <c r="A94" s="13" t="s">
        <v>181</v>
      </c>
      <c r="B94" s="13" t="s">
        <v>447</v>
      </c>
      <c r="C94" s="13" t="s">
        <v>125</v>
      </c>
      <c r="D94" s="19" t="n">
        <v>3</v>
      </c>
      <c r="E94" s="13" t="s">
        <v>363</v>
      </c>
      <c r="F94" s="13" t="s">
        <v>515</v>
      </c>
      <c r="G94" s="13" t="s">
        <v>516</v>
      </c>
      <c r="H94" s="13" t="s">
        <v>404</v>
      </c>
      <c r="I94" s="13" t="s">
        <v>126</v>
      </c>
      <c r="J94" s="13"/>
      <c r="K94" s="13" t="s">
        <v>368</v>
      </c>
      <c r="L94" s="13"/>
    </row>
    <row r="95" customFormat="false" ht="15" hidden="false" customHeight="false" outlineLevel="0" collapsed="false">
      <c r="A95" s="13" t="s">
        <v>181</v>
      </c>
      <c r="B95" s="13" t="s">
        <v>447</v>
      </c>
      <c r="C95" s="13" t="s">
        <v>125</v>
      </c>
      <c r="D95" s="19" t="n">
        <v>4</v>
      </c>
      <c r="E95" s="13" t="s">
        <v>375</v>
      </c>
      <c r="F95" s="13" t="s">
        <v>517</v>
      </c>
      <c r="G95" s="13"/>
      <c r="H95" s="13"/>
      <c r="I95" s="13"/>
      <c r="J95" s="13"/>
      <c r="K95" s="13" t="s">
        <v>518</v>
      </c>
      <c r="L95" s="13"/>
    </row>
    <row r="96" customFormat="false" ht="15" hidden="false" customHeight="false" outlineLevel="0" collapsed="false">
      <c r="A96" s="13" t="s">
        <v>181</v>
      </c>
      <c r="B96" s="13" t="s">
        <v>447</v>
      </c>
      <c r="C96" s="13" t="s">
        <v>125</v>
      </c>
      <c r="D96" s="19" t="n">
        <v>5</v>
      </c>
      <c r="E96" s="13" t="s">
        <v>360</v>
      </c>
      <c r="F96" s="13" t="s">
        <v>519</v>
      </c>
      <c r="G96" s="13"/>
      <c r="H96" s="13"/>
      <c r="I96" s="13"/>
      <c r="J96" s="13"/>
      <c r="K96" s="13"/>
      <c r="L96" s="13"/>
    </row>
    <row r="97" customFormat="false" ht="15" hidden="false" customHeight="false" outlineLevel="0" collapsed="false">
      <c r="A97" s="13" t="s">
        <v>181</v>
      </c>
      <c r="B97" s="13" t="s">
        <v>447</v>
      </c>
      <c r="C97" s="13" t="s">
        <v>125</v>
      </c>
      <c r="D97" s="19" t="n">
        <v>6</v>
      </c>
      <c r="E97" s="13" t="s">
        <v>363</v>
      </c>
      <c r="F97" s="13" t="s">
        <v>520</v>
      </c>
      <c r="G97" s="13" t="s">
        <v>521</v>
      </c>
      <c r="H97" s="13" t="s">
        <v>404</v>
      </c>
      <c r="I97" s="13" t="s">
        <v>126</v>
      </c>
      <c r="J97" s="13"/>
      <c r="K97" s="13" t="s">
        <v>371</v>
      </c>
      <c r="L97" s="13"/>
    </row>
    <row r="98" customFormat="false" ht="15" hidden="false" customHeight="false" outlineLevel="0" collapsed="false">
      <c r="A98" s="13" t="s">
        <v>181</v>
      </c>
      <c r="B98" s="13" t="s">
        <v>447</v>
      </c>
      <c r="C98" s="13" t="s">
        <v>125</v>
      </c>
      <c r="D98" s="19" t="n">
        <v>7</v>
      </c>
      <c r="E98" s="13" t="s">
        <v>360</v>
      </c>
      <c r="F98" s="13" t="s">
        <v>434</v>
      </c>
      <c r="G98" s="13"/>
      <c r="H98" s="13"/>
      <c r="I98" s="13"/>
      <c r="J98" s="13"/>
      <c r="K98" s="13" t="s">
        <v>397</v>
      </c>
      <c r="L98" s="13"/>
    </row>
    <row r="99" customFormat="false" ht="15" hidden="false" customHeight="false" outlineLevel="0" collapsed="false">
      <c r="A99" s="13" t="s">
        <v>181</v>
      </c>
      <c r="B99" s="13" t="s">
        <v>447</v>
      </c>
      <c r="C99" s="13" t="s">
        <v>125</v>
      </c>
      <c r="D99" s="19" t="n">
        <v>8</v>
      </c>
      <c r="E99" s="13" t="s">
        <v>363</v>
      </c>
      <c r="F99" s="13" t="s">
        <v>522</v>
      </c>
      <c r="G99" s="13" t="s">
        <v>473</v>
      </c>
      <c r="H99" s="13" t="s">
        <v>184</v>
      </c>
      <c r="I99" s="13" t="s">
        <v>128</v>
      </c>
      <c r="J99" s="13"/>
      <c r="K99" s="13" t="s">
        <v>439</v>
      </c>
      <c r="L99" s="13"/>
    </row>
    <row r="100" customFormat="false" ht="23.85" hidden="false" customHeight="false" outlineLevel="0" collapsed="false">
      <c r="A100" s="13" t="s">
        <v>181</v>
      </c>
      <c r="B100" s="13" t="s">
        <v>447</v>
      </c>
      <c r="C100" s="13" t="s">
        <v>125</v>
      </c>
      <c r="D100" s="19" t="n">
        <v>9</v>
      </c>
      <c r="E100" s="13" t="s">
        <v>363</v>
      </c>
      <c r="F100" s="13" t="s">
        <v>523</v>
      </c>
      <c r="G100" s="13" t="s">
        <v>473</v>
      </c>
      <c r="H100" s="13" t="s">
        <v>184</v>
      </c>
      <c r="I100" s="13" t="s">
        <v>128</v>
      </c>
      <c r="J100" s="13"/>
      <c r="K100" s="13" t="s">
        <v>441</v>
      </c>
      <c r="L100" s="13"/>
    </row>
    <row r="101" customFormat="false" ht="23.85" hidden="false" customHeight="false" outlineLevel="0" collapsed="false">
      <c r="A101" s="13" t="s">
        <v>181</v>
      </c>
      <c r="B101" s="13" t="s">
        <v>447</v>
      </c>
      <c r="C101" s="13" t="s">
        <v>125</v>
      </c>
      <c r="D101" s="19" t="n">
        <v>10</v>
      </c>
      <c r="E101" s="13" t="s">
        <v>363</v>
      </c>
      <c r="F101" s="13" t="s">
        <v>524</v>
      </c>
      <c r="G101" s="13" t="s">
        <v>514</v>
      </c>
      <c r="H101" s="13" t="s">
        <v>184</v>
      </c>
      <c r="I101" s="13" t="s">
        <v>130</v>
      </c>
      <c r="J101" s="13"/>
      <c r="K101" s="13" t="s">
        <v>419</v>
      </c>
      <c r="L101" s="13"/>
    </row>
    <row r="102" customFormat="false" ht="15" hidden="false" customHeight="false" outlineLevel="0" collapsed="false">
      <c r="A102" s="13" t="s">
        <v>181</v>
      </c>
      <c r="B102" s="13" t="s">
        <v>447</v>
      </c>
      <c r="C102" s="13" t="s">
        <v>125</v>
      </c>
      <c r="D102" s="19" t="n">
        <v>11</v>
      </c>
      <c r="E102" s="13" t="s">
        <v>360</v>
      </c>
      <c r="F102" s="13" t="s">
        <v>525</v>
      </c>
      <c r="G102" s="13"/>
      <c r="H102" s="13"/>
      <c r="I102" s="13"/>
      <c r="J102" s="13"/>
      <c r="K102" s="13"/>
      <c r="L102" s="13"/>
    </row>
    <row r="103" customFormat="false" ht="15" hidden="false" customHeight="false" outlineLevel="0" collapsed="false">
      <c r="A103" s="13" t="s">
        <v>181</v>
      </c>
      <c r="B103" s="13" t="s">
        <v>447</v>
      </c>
      <c r="C103" s="13" t="s">
        <v>125</v>
      </c>
      <c r="D103" s="19" t="n">
        <v>12</v>
      </c>
      <c r="E103" s="13" t="s">
        <v>383</v>
      </c>
      <c r="F103" s="13" t="s">
        <v>526</v>
      </c>
      <c r="G103" s="13"/>
      <c r="H103" s="13"/>
      <c r="I103" s="13"/>
      <c r="J103" s="13"/>
      <c r="K103" s="13" t="s">
        <v>365</v>
      </c>
      <c r="L103" s="13"/>
    </row>
    <row r="104" customFormat="false" ht="23.85" hidden="false" customHeight="false" outlineLevel="0" collapsed="false">
      <c r="A104" s="13" t="s">
        <v>181</v>
      </c>
      <c r="B104" s="13" t="s">
        <v>447</v>
      </c>
      <c r="C104" s="13" t="s">
        <v>125</v>
      </c>
      <c r="D104" s="19" t="n">
        <v>13</v>
      </c>
      <c r="E104" s="13" t="s">
        <v>383</v>
      </c>
      <c r="F104" s="13" t="s">
        <v>527</v>
      </c>
      <c r="G104" s="13"/>
      <c r="H104" s="13"/>
      <c r="I104" s="13"/>
      <c r="J104" s="13"/>
      <c r="K104" s="13" t="s">
        <v>439</v>
      </c>
      <c r="L104" s="13"/>
    </row>
  </sheetData>
  <autoFilter ref="A1:L10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263A"/>
    <pageSetUpPr fitToPage="true"/>
  </sheetPr>
  <dimension ref="A1:S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6"/>
    <col collapsed="false" customWidth="true" hidden="false" outlineLevel="0" max="3" min="3" style="0" width="40"/>
    <col collapsed="false" customWidth="true" hidden="false" outlineLevel="0" max="19" min="4" style="0" width="11"/>
  </cols>
  <sheetData>
    <row r="1" customFormat="false" ht="17.35" hidden="false" customHeight="false" outlineLevel="0" collapsed="false">
      <c r="A1" s="14" t="s">
        <v>528</v>
      </c>
    </row>
    <row r="2" customFormat="false" ht="15" hidden="false" customHeight="true" outlineLevel="0" collapsed="false">
      <c r="D2" s="22" t="s">
        <v>529</v>
      </c>
      <c r="E2" s="22"/>
      <c r="F2" s="22"/>
      <c r="G2" s="22"/>
      <c r="H2" s="22" t="s">
        <v>530</v>
      </c>
      <c r="I2" s="22"/>
      <c r="J2" s="22"/>
      <c r="K2" s="22"/>
      <c r="L2" s="22"/>
      <c r="M2" s="22"/>
      <c r="N2" s="22"/>
      <c r="O2" s="22"/>
      <c r="P2" s="22"/>
      <c r="Q2" s="22"/>
      <c r="R2" s="22"/>
    </row>
    <row r="3" customFormat="false" ht="42" hidden="false" customHeight="true" outlineLevel="0" collapsed="false">
      <c r="A3" s="16" t="s">
        <v>67</v>
      </c>
      <c r="B3" s="16" t="s">
        <v>68</v>
      </c>
      <c r="C3" s="16" t="s">
        <v>69</v>
      </c>
      <c r="D3" s="16" t="s">
        <v>531</v>
      </c>
      <c r="E3" s="16" t="s">
        <v>532</v>
      </c>
      <c r="F3" s="16" t="s">
        <v>533</v>
      </c>
      <c r="G3" s="16" t="s">
        <v>534</v>
      </c>
      <c r="H3" s="16" t="s">
        <v>535</v>
      </c>
      <c r="I3" s="16" t="s">
        <v>96</v>
      </c>
      <c r="J3" s="16" t="s">
        <v>479</v>
      </c>
      <c r="K3" s="16" t="s">
        <v>473</v>
      </c>
      <c r="L3" s="16" t="s">
        <v>141</v>
      </c>
      <c r="M3" s="16" t="s">
        <v>536</v>
      </c>
      <c r="N3" s="16" t="s">
        <v>536</v>
      </c>
      <c r="O3" s="16" t="s">
        <v>521</v>
      </c>
      <c r="P3" s="16" t="s">
        <v>514</v>
      </c>
      <c r="Q3" s="16" t="s">
        <v>409</v>
      </c>
      <c r="R3" s="16" t="s">
        <v>498</v>
      </c>
      <c r="S3" s="16" t="s">
        <v>537</v>
      </c>
    </row>
    <row r="4" customFormat="false" ht="15" hidden="false" customHeight="false" outlineLevel="0" collapsed="false">
      <c r="A4" s="13" t="s">
        <v>81</v>
      </c>
      <c r="B4" s="13" t="s">
        <v>82</v>
      </c>
      <c r="C4" s="13" t="s">
        <v>83</v>
      </c>
      <c r="D4" s="9" t="s">
        <v>56</v>
      </c>
      <c r="E4" s="10" t="s">
        <v>58</v>
      </c>
      <c r="F4" s="23"/>
      <c r="G4" s="11" t="s">
        <v>62</v>
      </c>
      <c r="H4" s="12" t="s">
        <v>64</v>
      </c>
      <c r="I4" s="23"/>
      <c r="J4" s="11" t="s">
        <v>62</v>
      </c>
      <c r="K4" s="23"/>
      <c r="L4" s="23"/>
      <c r="M4" s="23"/>
      <c r="N4" s="23"/>
      <c r="O4" s="23"/>
      <c r="P4" s="23"/>
      <c r="Q4" s="23"/>
      <c r="R4" s="23"/>
      <c r="S4" s="24" t="str">
        <f aca="false">IF(COUNTIF(D4:R4,"A")+COUNTIF(D4:R4,"A/R")&lt;&gt;1,"Revisar A",IF(COUNTIF(D4:R4,"R")+COUNTIF(D4:R4,"A/R")=0,"Falta R","OK"))</f>
        <v>OK</v>
      </c>
    </row>
    <row r="5" customFormat="false" ht="15" hidden="false" customHeight="false" outlineLevel="0" collapsed="false">
      <c r="A5" s="13" t="s">
        <v>81</v>
      </c>
      <c r="B5" s="13" t="s">
        <v>86</v>
      </c>
      <c r="C5" s="13" t="s">
        <v>87</v>
      </c>
      <c r="D5" s="9" t="s">
        <v>56</v>
      </c>
      <c r="E5" s="10" t="s">
        <v>58</v>
      </c>
      <c r="F5" s="11" t="s">
        <v>62</v>
      </c>
      <c r="G5" s="23"/>
      <c r="H5" s="11" t="s">
        <v>62</v>
      </c>
      <c r="I5" s="23"/>
      <c r="J5" s="11" t="s">
        <v>62</v>
      </c>
      <c r="K5" s="12" t="s">
        <v>64</v>
      </c>
      <c r="L5" s="12" t="s">
        <v>64</v>
      </c>
      <c r="M5" s="23"/>
      <c r="N5" s="23"/>
      <c r="O5" s="23"/>
      <c r="P5" s="12" t="s">
        <v>64</v>
      </c>
      <c r="Q5" s="11" t="s">
        <v>62</v>
      </c>
      <c r="R5" s="23"/>
      <c r="S5" s="24" t="str">
        <f aca="false">IF(COUNTIF(D5:R5,"A")+COUNTIF(D5:R5,"A/R")&lt;&gt;1,"Revisar A",IF(COUNTIF(D5:R5,"R")+COUNTIF(D5:R5,"A/R")=0,"Falta R","OK"))</f>
        <v>OK</v>
      </c>
    </row>
    <row r="6" customFormat="false" ht="15" hidden="false" customHeight="false" outlineLevel="0" collapsed="false">
      <c r="A6" s="13" t="s">
        <v>81</v>
      </c>
      <c r="B6" s="13" t="s">
        <v>88</v>
      </c>
      <c r="C6" s="13" t="s">
        <v>89</v>
      </c>
      <c r="D6" s="9" t="s">
        <v>56</v>
      </c>
      <c r="E6" s="12" t="s">
        <v>64</v>
      </c>
      <c r="F6" s="10" t="s">
        <v>58</v>
      </c>
      <c r="G6" s="23"/>
      <c r="H6" s="11" t="s">
        <v>62</v>
      </c>
      <c r="I6" s="23"/>
      <c r="J6" s="11" t="s">
        <v>62</v>
      </c>
      <c r="K6" s="23"/>
      <c r="L6" s="23"/>
      <c r="M6" s="23"/>
      <c r="N6" s="23"/>
      <c r="O6" s="11" t="s">
        <v>62</v>
      </c>
      <c r="P6" s="23"/>
      <c r="Q6" s="11" t="s">
        <v>62</v>
      </c>
      <c r="R6" s="23"/>
      <c r="S6" s="24" t="str">
        <f aca="false">IF(COUNTIF(D6:R6,"A")+COUNTIF(D6:R6,"A/R")&lt;&gt;1,"Revisar A",IF(COUNTIF(D6:R6,"R")+COUNTIF(D6:R6,"A/R")=0,"Falta R","OK"))</f>
        <v>OK</v>
      </c>
    </row>
    <row r="7" customFormat="false" ht="15" hidden="false" customHeight="false" outlineLevel="0" collapsed="false">
      <c r="A7" s="13" t="s">
        <v>81</v>
      </c>
      <c r="B7" s="13" t="s">
        <v>90</v>
      </c>
      <c r="C7" s="13" t="s">
        <v>91</v>
      </c>
      <c r="D7" s="9" t="s">
        <v>56</v>
      </c>
      <c r="E7" s="10" t="s">
        <v>58</v>
      </c>
      <c r="F7" s="23"/>
      <c r="G7" s="23"/>
      <c r="H7" s="11" t="s">
        <v>62</v>
      </c>
      <c r="I7" s="23"/>
      <c r="J7" s="11" t="s">
        <v>62</v>
      </c>
      <c r="K7" s="12" t="s">
        <v>64</v>
      </c>
      <c r="L7" s="12" t="s">
        <v>64</v>
      </c>
      <c r="M7" s="23"/>
      <c r="N7" s="23"/>
      <c r="O7" s="23"/>
      <c r="P7" s="12" t="s">
        <v>64</v>
      </c>
      <c r="Q7" s="23"/>
      <c r="R7" s="23"/>
      <c r="S7" s="24" t="str">
        <f aca="false">IF(COUNTIF(D7:R7,"A")+COUNTIF(D7:R7,"A/R")&lt;&gt;1,"Revisar A",IF(COUNTIF(D7:R7,"R")+COUNTIF(D7:R7,"A/R")=0,"Falta R","OK"))</f>
        <v>OK</v>
      </c>
    </row>
    <row r="8" customFormat="false" ht="15" hidden="false" customHeight="false" outlineLevel="0" collapsed="false">
      <c r="A8" s="13" t="s">
        <v>81</v>
      </c>
      <c r="B8" s="13" t="s">
        <v>92</v>
      </c>
      <c r="C8" s="13" t="s">
        <v>93</v>
      </c>
      <c r="D8" s="9" t="s">
        <v>56</v>
      </c>
      <c r="E8" s="10" t="s">
        <v>58</v>
      </c>
      <c r="F8" s="23"/>
      <c r="G8" s="23"/>
      <c r="H8" s="11" t="s">
        <v>62</v>
      </c>
      <c r="I8" s="23"/>
      <c r="J8" s="11" t="s">
        <v>62</v>
      </c>
      <c r="K8" s="12" t="s">
        <v>64</v>
      </c>
      <c r="L8" s="12" t="s">
        <v>64</v>
      </c>
      <c r="M8" s="23"/>
      <c r="N8" s="23"/>
      <c r="O8" s="23"/>
      <c r="P8" s="12" t="s">
        <v>64</v>
      </c>
      <c r="Q8" s="23"/>
      <c r="R8" s="23"/>
      <c r="S8" s="24" t="str">
        <f aca="false">IF(COUNTIF(D8:R8,"A")+COUNTIF(D8:R8,"A/R")&lt;&gt;1,"Revisar A",IF(COUNTIF(D8:R8,"R")+COUNTIF(D8:R8,"A/R")=0,"Falta R","OK"))</f>
        <v>OK</v>
      </c>
    </row>
    <row r="9" customFormat="false" ht="15" hidden="false" customHeight="false" outlineLevel="0" collapsed="false">
      <c r="A9" s="13" t="s">
        <v>81</v>
      </c>
      <c r="B9" s="13" t="s">
        <v>94</v>
      </c>
      <c r="C9" s="13" t="s">
        <v>95</v>
      </c>
      <c r="D9" s="9" t="s">
        <v>56</v>
      </c>
      <c r="E9" s="10" t="s">
        <v>58</v>
      </c>
      <c r="F9" s="23"/>
      <c r="G9" s="10" t="s">
        <v>58</v>
      </c>
      <c r="H9" s="12" t="s">
        <v>64</v>
      </c>
      <c r="I9" s="23"/>
      <c r="J9" s="11" t="s">
        <v>62</v>
      </c>
      <c r="K9" s="23"/>
      <c r="L9" s="23"/>
      <c r="M9" s="23"/>
      <c r="N9" s="23"/>
      <c r="O9" s="23"/>
      <c r="P9" s="23"/>
      <c r="Q9" s="23"/>
      <c r="R9" s="23"/>
      <c r="S9" s="24" t="str">
        <f aca="false">IF(COUNTIF(D9:R9,"A")+COUNTIF(D9:R9,"A/R")&lt;&gt;1,"Revisar A",IF(COUNTIF(D9:R9,"R")+COUNTIF(D9:R9,"A/R")=0,"Falta R","OK"))</f>
        <v>OK</v>
      </c>
    </row>
    <row r="10" customFormat="false" ht="15" hidden="false" customHeight="false" outlineLevel="0" collapsed="false">
      <c r="A10" s="13" t="s">
        <v>96</v>
      </c>
      <c r="B10" s="13" t="s">
        <v>97</v>
      </c>
      <c r="C10" s="13" t="s">
        <v>98</v>
      </c>
      <c r="D10" s="23"/>
      <c r="E10" s="23"/>
      <c r="F10" s="23"/>
      <c r="G10" s="12" t="s">
        <v>64</v>
      </c>
      <c r="H10" s="23"/>
      <c r="I10" s="9" t="s">
        <v>60</v>
      </c>
      <c r="J10" s="12" t="s">
        <v>64</v>
      </c>
      <c r="K10" s="23"/>
      <c r="L10" s="11" t="s">
        <v>62</v>
      </c>
      <c r="M10" s="23"/>
      <c r="N10" s="23"/>
      <c r="O10" s="23"/>
      <c r="P10" s="11" t="s">
        <v>62</v>
      </c>
      <c r="Q10" s="23"/>
      <c r="R10" s="23"/>
      <c r="S10" s="24" t="str">
        <f aca="false">IF(COUNTIF(D10:R10,"A")+COUNTIF(D10:R10,"A/R")&lt;&gt;1,"Revisar A",IF(COUNTIF(D10:R10,"R")+COUNTIF(D10:R10,"A/R")=0,"Falta R","OK"))</f>
        <v>OK</v>
      </c>
    </row>
    <row r="11" customFormat="false" ht="15" hidden="false" customHeight="false" outlineLevel="0" collapsed="false">
      <c r="A11" s="13" t="s">
        <v>96</v>
      </c>
      <c r="B11" s="13" t="s">
        <v>99</v>
      </c>
      <c r="C11" s="13" t="s">
        <v>100</v>
      </c>
      <c r="D11" s="23"/>
      <c r="E11" s="9" t="s">
        <v>56</v>
      </c>
      <c r="F11" s="11" t="s">
        <v>62</v>
      </c>
      <c r="G11" s="23"/>
      <c r="H11" s="23"/>
      <c r="I11" s="10" t="s">
        <v>58</v>
      </c>
      <c r="J11" s="11" t="s">
        <v>62</v>
      </c>
      <c r="K11" s="12" t="s">
        <v>64</v>
      </c>
      <c r="L11" s="23"/>
      <c r="M11" s="23"/>
      <c r="N11" s="23"/>
      <c r="O11" s="23"/>
      <c r="P11" s="12" t="s">
        <v>64</v>
      </c>
      <c r="Q11" s="11" t="s">
        <v>62</v>
      </c>
      <c r="R11" s="23"/>
      <c r="S11" s="24" t="str">
        <f aca="false">IF(COUNTIF(D11:R11,"A")+COUNTIF(D11:R11,"A/R")&lt;&gt;1,"Revisar A",IF(COUNTIF(D11:R11,"R")+COUNTIF(D11:R11,"A/R")=0,"Falta R","OK"))</f>
        <v>OK</v>
      </c>
    </row>
    <row r="12" customFormat="false" ht="15" hidden="false" customHeight="false" outlineLevel="0" collapsed="false">
      <c r="A12" s="13" t="s">
        <v>96</v>
      </c>
      <c r="B12" s="13" t="s">
        <v>101</v>
      </c>
      <c r="C12" s="13" t="s">
        <v>102</v>
      </c>
      <c r="D12" s="23"/>
      <c r="E12" s="23"/>
      <c r="F12" s="23"/>
      <c r="G12" s="23"/>
      <c r="H12" s="23"/>
      <c r="I12" s="9" t="s">
        <v>60</v>
      </c>
      <c r="J12" s="12" t="s">
        <v>64</v>
      </c>
      <c r="K12" s="23"/>
      <c r="L12" s="10" t="s">
        <v>58</v>
      </c>
      <c r="M12" s="23"/>
      <c r="N12" s="11" t="s">
        <v>62</v>
      </c>
      <c r="O12" s="23"/>
      <c r="P12" s="23"/>
      <c r="Q12" s="23"/>
      <c r="R12" s="23"/>
      <c r="S12" s="24" t="str">
        <f aca="false">IF(COUNTIF(D12:R12,"A")+COUNTIF(D12:R12,"A/R")&lt;&gt;1,"Revisar A",IF(COUNTIF(D12:R12,"R")+COUNTIF(D12:R12,"A/R")=0,"Falta R","OK"))</f>
        <v>OK</v>
      </c>
    </row>
    <row r="13" customFormat="false" ht="15" hidden="false" customHeight="false" outlineLevel="0" collapsed="false">
      <c r="A13" s="13" t="s">
        <v>96</v>
      </c>
      <c r="B13" s="13" t="s">
        <v>103</v>
      </c>
      <c r="C13" s="13" t="s">
        <v>104</v>
      </c>
      <c r="D13" s="23"/>
      <c r="E13" s="23"/>
      <c r="F13" s="23"/>
      <c r="G13" s="23"/>
      <c r="H13" s="23"/>
      <c r="I13" s="12" t="s">
        <v>64</v>
      </c>
      <c r="J13" s="9" t="s">
        <v>56</v>
      </c>
      <c r="K13" s="12" t="s">
        <v>64</v>
      </c>
      <c r="L13" s="10" t="s">
        <v>58</v>
      </c>
      <c r="M13" s="23"/>
      <c r="N13" s="11" t="s">
        <v>62</v>
      </c>
      <c r="O13" s="23"/>
      <c r="P13" s="23"/>
      <c r="Q13" s="23"/>
      <c r="R13" s="23"/>
      <c r="S13" s="24" t="str">
        <f aca="false">IF(COUNTIF(D13:R13,"A")+COUNTIF(D13:R13,"A/R")&lt;&gt;1,"Revisar A",IF(COUNTIF(D13:R13,"R")+COUNTIF(D13:R13,"A/R")=0,"Falta R","OK"))</f>
        <v>OK</v>
      </c>
    </row>
    <row r="14" customFormat="false" ht="15" hidden="false" customHeight="false" outlineLevel="0" collapsed="false">
      <c r="A14" s="13" t="s">
        <v>96</v>
      </c>
      <c r="B14" s="13" t="s">
        <v>105</v>
      </c>
      <c r="C14" s="13" t="s">
        <v>106</v>
      </c>
      <c r="D14" s="12" t="s">
        <v>64</v>
      </c>
      <c r="E14" s="9" t="s">
        <v>56</v>
      </c>
      <c r="F14" s="23"/>
      <c r="G14" s="23"/>
      <c r="H14" s="23"/>
      <c r="I14" s="10" t="s">
        <v>58</v>
      </c>
      <c r="J14" s="11" t="s">
        <v>62</v>
      </c>
      <c r="K14" s="23"/>
      <c r="L14" s="23"/>
      <c r="M14" s="23"/>
      <c r="N14" s="23"/>
      <c r="O14" s="23"/>
      <c r="P14" s="23"/>
      <c r="Q14" s="23"/>
      <c r="R14" s="23"/>
      <c r="S14" s="24" t="str">
        <f aca="false">IF(COUNTIF(D14:R14,"A")+COUNTIF(D14:R14,"A/R")&lt;&gt;1,"Revisar A",IF(COUNTIF(D14:R14,"R")+COUNTIF(D14:R14,"A/R")=0,"Falta R","OK"))</f>
        <v>OK</v>
      </c>
    </row>
    <row r="15" customFormat="false" ht="15" hidden="false" customHeight="false" outlineLevel="0" collapsed="false">
      <c r="A15" s="13" t="s">
        <v>107</v>
      </c>
      <c r="B15" s="13" t="s">
        <v>108</v>
      </c>
      <c r="C15" s="13" t="s">
        <v>109</v>
      </c>
      <c r="D15" s="23"/>
      <c r="E15" s="23"/>
      <c r="F15" s="11" t="s">
        <v>62</v>
      </c>
      <c r="G15" s="23"/>
      <c r="H15" s="23"/>
      <c r="I15" s="23"/>
      <c r="J15" s="9" t="s">
        <v>56</v>
      </c>
      <c r="K15" s="10" t="s">
        <v>58</v>
      </c>
      <c r="L15" s="12" t="s">
        <v>64</v>
      </c>
      <c r="M15" s="23"/>
      <c r="N15" s="23"/>
      <c r="O15" s="23"/>
      <c r="P15" s="12" t="s">
        <v>64</v>
      </c>
      <c r="Q15" s="11" t="s">
        <v>62</v>
      </c>
      <c r="R15" s="23"/>
      <c r="S15" s="24" t="str">
        <f aca="false">IF(COUNTIF(D15:R15,"A")+COUNTIF(D15:R15,"A/R")&lt;&gt;1,"Revisar A",IF(COUNTIF(D15:R15,"R")+COUNTIF(D15:R15,"A/R")=0,"Falta R","OK"))</f>
        <v>OK</v>
      </c>
    </row>
    <row r="16" customFormat="false" ht="15" hidden="false" customHeight="false" outlineLevel="0" collapsed="false">
      <c r="A16" s="13" t="s">
        <v>107</v>
      </c>
      <c r="B16" s="13" t="s">
        <v>110</v>
      </c>
      <c r="C16" s="13" t="s">
        <v>111</v>
      </c>
      <c r="D16" s="12" t="s">
        <v>64</v>
      </c>
      <c r="E16" s="23"/>
      <c r="F16" s="9" t="s">
        <v>56</v>
      </c>
      <c r="G16" s="23"/>
      <c r="H16" s="23"/>
      <c r="I16" s="23"/>
      <c r="J16" s="11" t="s">
        <v>62</v>
      </c>
      <c r="K16" s="10" t="s">
        <v>58</v>
      </c>
      <c r="L16" s="23"/>
      <c r="M16" s="23"/>
      <c r="N16" s="23"/>
      <c r="O16" s="23"/>
      <c r="P16" s="23"/>
      <c r="Q16" s="11" t="s">
        <v>62</v>
      </c>
      <c r="R16" s="23"/>
      <c r="S16" s="24" t="str">
        <f aca="false">IF(COUNTIF(D16:R16,"A")+COUNTIF(D16:R16,"A/R")&lt;&gt;1,"Revisar A",IF(COUNTIF(D16:R16,"R")+COUNTIF(D16:R16,"A/R")=0,"Falta R","OK"))</f>
        <v>OK</v>
      </c>
    </row>
    <row r="17" customFormat="false" ht="15" hidden="false" customHeight="false" outlineLevel="0" collapsed="false">
      <c r="A17" s="13" t="s">
        <v>107</v>
      </c>
      <c r="B17" s="13" t="s">
        <v>112</v>
      </c>
      <c r="C17" s="13" t="s">
        <v>113</v>
      </c>
      <c r="D17" s="23"/>
      <c r="E17" s="23"/>
      <c r="F17" s="12" t="s">
        <v>64</v>
      </c>
      <c r="G17" s="23"/>
      <c r="H17" s="23"/>
      <c r="I17" s="23"/>
      <c r="J17" s="9" t="s">
        <v>56</v>
      </c>
      <c r="K17" s="10" t="s">
        <v>58</v>
      </c>
      <c r="L17" s="23"/>
      <c r="M17" s="23"/>
      <c r="N17" s="23"/>
      <c r="O17" s="23"/>
      <c r="P17" s="23"/>
      <c r="Q17" s="11" t="s">
        <v>62</v>
      </c>
      <c r="R17" s="23"/>
      <c r="S17" s="24" t="str">
        <f aca="false">IF(COUNTIF(D17:R17,"A")+COUNTIF(D17:R17,"A/R")&lt;&gt;1,"Revisar A",IF(COUNTIF(D17:R17,"R")+COUNTIF(D17:R17,"A/R")=0,"Falta R","OK"))</f>
        <v>OK</v>
      </c>
    </row>
    <row r="18" customFormat="false" ht="15" hidden="false" customHeight="false" outlineLevel="0" collapsed="false">
      <c r="A18" s="13" t="s">
        <v>107</v>
      </c>
      <c r="B18" s="13" t="s">
        <v>114</v>
      </c>
      <c r="C18" s="13" t="s">
        <v>115</v>
      </c>
      <c r="D18" s="12" t="s">
        <v>64</v>
      </c>
      <c r="E18" s="23"/>
      <c r="F18" s="9" t="s">
        <v>56</v>
      </c>
      <c r="G18" s="23"/>
      <c r="H18" s="23"/>
      <c r="I18" s="23"/>
      <c r="J18" s="11" t="s">
        <v>62</v>
      </c>
      <c r="K18" s="10" t="s">
        <v>58</v>
      </c>
      <c r="L18" s="23"/>
      <c r="M18" s="23"/>
      <c r="N18" s="23"/>
      <c r="O18" s="23"/>
      <c r="P18" s="23"/>
      <c r="Q18" s="11" t="s">
        <v>62</v>
      </c>
      <c r="R18" s="23"/>
      <c r="S18" s="24" t="str">
        <f aca="false">IF(COUNTIF(D18:R18,"A")+COUNTIF(D18:R18,"A/R")&lt;&gt;1,"Revisar A",IF(COUNTIF(D18:R18,"R")+COUNTIF(D18:R18,"A/R")=0,"Falta R","OK"))</f>
        <v>OK</v>
      </c>
    </row>
    <row r="19" customFormat="false" ht="15" hidden="false" customHeight="false" outlineLevel="0" collapsed="false">
      <c r="A19" s="13" t="s">
        <v>116</v>
      </c>
      <c r="B19" s="13" t="s">
        <v>117</v>
      </c>
      <c r="C19" s="13" t="s">
        <v>118</v>
      </c>
      <c r="D19" s="23"/>
      <c r="E19" s="23"/>
      <c r="F19" s="23"/>
      <c r="G19" s="23"/>
      <c r="H19" s="23"/>
      <c r="I19" s="23"/>
      <c r="J19" s="9" t="s">
        <v>56</v>
      </c>
      <c r="K19" s="10" t="s">
        <v>58</v>
      </c>
      <c r="L19" s="12" t="s">
        <v>64</v>
      </c>
      <c r="M19" s="23"/>
      <c r="N19" s="23"/>
      <c r="O19" s="23"/>
      <c r="P19" s="23"/>
      <c r="Q19" s="11" t="s">
        <v>62</v>
      </c>
      <c r="R19" s="23"/>
      <c r="S19" s="24" t="str">
        <f aca="false">IF(COUNTIF(D19:R19,"A")+COUNTIF(D19:R19,"A/R")&lt;&gt;1,"Revisar A",IF(COUNTIF(D19:R19,"R")+COUNTIF(D19:R19,"A/R")=0,"Falta R","OK"))</f>
        <v>OK</v>
      </c>
    </row>
    <row r="20" customFormat="false" ht="15" hidden="false" customHeight="false" outlineLevel="0" collapsed="false">
      <c r="A20" s="13" t="s">
        <v>116</v>
      </c>
      <c r="B20" s="13" t="s">
        <v>119</v>
      </c>
      <c r="C20" s="13" t="s">
        <v>120</v>
      </c>
      <c r="D20" s="23"/>
      <c r="E20" s="23"/>
      <c r="F20" s="23"/>
      <c r="G20" s="23"/>
      <c r="H20" s="23"/>
      <c r="I20" s="23"/>
      <c r="J20" s="9" t="s">
        <v>56</v>
      </c>
      <c r="K20" s="11" t="s">
        <v>62</v>
      </c>
      <c r="L20" s="23"/>
      <c r="M20" s="23"/>
      <c r="N20" s="23"/>
      <c r="O20" s="23"/>
      <c r="P20" s="23"/>
      <c r="Q20" s="12" t="s">
        <v>64</v>
      </c>
      <c r="R20" s="10" t="s">
        <v>58</v>
      </c>
      <c r="S20" s="24" t="str">
        <f aca="false">IF(COUNTIF(D20:R20,"A")+COUNTIF(D20:R20,"A/R")&lt;&gt;1,"Revisar A",IF(COUNTIF(D20:R20,"R")+COUNTIF(D20:R20,"A/R")=0,"Falta R","OK"))</f>
        <v>OK</v>
      </c>
    </row>
    <row r="21" customFormat="false" ht="15" hidden="false" customHeight="false" outlineLevel="0" collapsed="false">
      <c r="A21" s="13" t="s">
        <v>116</v>
      </c>
      <c r="B21" s="13" t="s">
        <v>121</v>
      </c>
      <c r="C21" s="13" t="s">
        <v>122</v>
      </c>
      <c r="D21" s="23"/>
      <c r="E21" s="23"/>
      <c r="F21" s="23"/>
      <c r="G21" s="23"/>
      <c r="H21" s="23"/>
      <c r="I21" s="23"/>
      <c r="J21" s="9" t="s">
        <v>56</v>
      </c>
      <c r="K21" s="10" t="s">
        <v>58</v>
      </c>
      <c r="L21" s="23"/>
      <c r="M21" s="23"/>
      <c r="N21" s="23"/>
      <c r="O21" s="23"/>
      <c r="P21" s="23"/>
      <c r="Q21" s="11" t="s">
        <v>62</v>
      </c>
      <c r="R21" s="12" t="s">
        <v>64</v>
      </c>
      <c r="S21" s="24" t="str">
        <f aca="false">IF(COUNTIF(D21:R21,"A")+COUNTIF(D21:R21,"A/R")&lt;&gt;1,"Revisar A",IF(COUNTIF(D21:R21,"R")+COUNTIF(D21:R21,"A/R")=0,"Falta R","OK"))</f>
        <v>OK</v>
      </c>
    </row>
    <row r="22" customFormat="false" ht="15" hidden="false" customHeight="false" outlineLevel="0" collapsed="false">
      <c r="A22" s="13" t="s">
        <v>116</v>
      </c>
      <c r="B22" s="13" t="s">
        <v>123</v>
      </c>
      <c r="C22" s="13" t="s">
        <v>124</v>
      </c>
      <c r="D22" s="23"/>
      <c r="E22" s="23"/>
      <c r="F22" s="11" t="s">
        <v>62</v>
      </c>
      <c r="G22" s="23"/>
      <c r="H22" s="12" t="s">
        <v>64</v>
      </c>
      <c r="I22" s="23"/>
      <c r="J22" s="9" t="s">
        <v>56</v>
      </c>
      <c r="K22" s="10" t="s">
        <v>58</v>
      </c>
      <c r="L22" s="11" t="s">
        <v>62</v>
      </c>
      <c r="M22" s="23"/>
      <c r="N22" s="23"/>
      <c r="O22" s="23"/>
      <c r="P22" s="23"/>
      <c r="Q22" s="11" t="s">
        <v>62</v>
      </c>
      <c r="R22" s="23"/>
      <c r="S22" s="24" t="str">
        <f aca="false">IF(COUNTIF(D22:R22,"A")+COUNTIF(D22:R22,"A/R")&lt;&gt;1,"Revisar A",IF(COUNTIF(D22:R22,"R")+COUNTIF(D22:R22,"A/R")=0,"Falta R","OK"))</f>
        <v>OK</v>
      </c>
    </row>
    <row r="23" customFormat="false" ht="15" hidden="false" customHeight="false" outlineLevel="0" collapsed="false">
      <c r="A23" s="13" t="s">
        <v>125</v>
      </c>
      <c r="B23" s="13" t="s">
        <v>126</v>
      </c>
      <c r="C23" s="13" t="s">
        <v>127</v>
      </c>
      <c r="D23" s="23"/>
      <c r="E23" s="23"/>
      <c r="F23" s="23"/>
      <c r="G23" s="23"/>
      <c r="H23" s="23"/>
      <c r="I23" s="11" t="s">
        <v>62</v>
      </c>
      <c r="J23" s="9" t="s">
        <v>56</v>
      </c>
      <c r="K23" s="23"/>
      <c r="L23" s="12" t="s">
        <v>64</v>
      </c>
      <c r="M23" s="23"/>
      <c r="N23" s="23"/>
      <c r="O23" s="12" t="s">
        <v>64</v>
      </c>
      <c r="P23" s="10" t="s">
        <v>58</v>
      </c>
      <c r="Q23" s="23"/>
      <c r="R23" s="23"/>
      <c r="S23" s="24" t="str">
        <f aca="false">IF(COUNTIF(D23:R23,"A")+COUNTIF(D23:R23,"A/R")&lt;&gt;1,"Revisar A",IF(COUNTIF(D23:R23,"R")+COUNTIF(D23:R23,"A/R")=0,"Falta R","OK"))</f>
        <v>OK</v>
      </c>
    </row>
    <row r="24" customFormat="false" ht="15" hidden="false" customHeight="false" outlineLevel="0" collapsed="false">
      <c r="A24" s="13" t="s">
        <v>125</v>
      </c>
      <c r="B24" s="13" t="s">
        <v>128</v>
      </c>
      <c r="C24" s="13" t="s">
        <v>129</v>
      </c>
      <c r="D24" s="23"/>
      <c r="E24" s="23"/>
      <c r="F24" s="23"/>
      <c r="G24" s="23"/>
      <c r="H24" s="23"/>
      <c r="I24" s="23"/>
      <c r="J24" s="9" t="s">
        <v>56</v>
      </c>
      <c r="K24" s="10" t="s">
        <v>58</v>
      </c>
      <c r="L24" s="11" t="s">
        <v>62</v>
      </c>
      <c r="M24" s="23"/>
      <c r="N24" s="23"/>
      <c r="O24" s="23"/>
      <c r="P24" s="11" t="s">
        <v>62</v>
      </c>
      <c r="Q24" s="12" t="s">
        <v>64</v>
      </c>
      <c r="R24" s="23"/>
      <c r="S24" s="24" t="str">
        <f aca="false">IF(COUNTIF(D24:R24,"A")+COUNTIF(D24:R24,"A/R")&lt;&gt;1,"Revisar A",IF(COUNTIF(D24:R24,"R")+COUNTIF(D24:R24,"A/R")=0,"Falta R","OK"))</f>
        <v>OK</v>
      </c>
    </row>
    <row r="25" customFormat="false" ht="15" hidden="false" customHeight="false" outlineLevel="0" collapsed="false">
      <c r="A25" s="13" t="s">
        <v>125</v>
      </c>
      <c r="B25" s="13" t="s">
        <v>130</v>
      </c>
      <c r="C25" s="13" t="s">
        <v>131</v>
      </c>
      <c r="D25" s="23"/>
      <c r="E25" s="23"/>
      <c r="F25" s="23"/>
      <c r="G25" s="23"/>
      <c r="H25" s="23"/>
      <c r="I25" s="23"/>
      <c r="J25" s="9" t="s">
        <v>56</v>
      </c>
      <c r="K25" s="23"/>
      <c r="L25" s="11" t="s">
        <v>62</v>
      </c>
      <c r="M25" s="23"/>
      <c r="N25" s="12" t="s">
        <v>64</v>
      </c>
      <c r="O25" s="23"/>
      <c r="P25" s="10" t="s">
        <v>58</v>
      </c>
      <c r="Q25" s="23"/>
      <c r="R25" s="23"/>
      <c r="S25" s="24" t="str">
        <f aca="false">IF(COUNTIF(D25:R25,"A")+COUNTIF(D25:R25,"A/R")&lt;&gt;1,"Revisar A",IF(COUNTIF(D25:R25,"R")+COUNTIF(D25:R25,"A/R")=0,"Falta R","OK"))</f>
        <v>OK</v>
      </c>
    </row>
    <row r="26" customFormat="false" ht="15" hidden="false" customHeight="false" outlineLevel="0" collapsed="false">
      <c r="A26" s="13" t="s">
        <v>125</v>
      </c>
      <c r="B26" s="13" t="s">
        <v>132</v>
      </c>
      <c r="C26" s="13" t="s">
        <v>133</v>
      </c>
      <c r="D26" s="23"/>
      <c r="E26" s="23"/>
      <c r="F26" s="12" t="s">
        <v>64</v>
      </c>
      <c r="G26" s="23"/>
      <c r="H26" s="23"/>
      <c r="I26" s="23"/>
      <c r="J26" s="9" t="s">
        <v>56</v>
      </c>
      <c r="K26" s="23"/>
      <c r="L26" s="23"/>
      <c r="M26" s="23"/>
      <c r="N26" s="23"/>
      <c r="O26" s="11" t="s">
        <v>62</v>
      </c>
      <c r="P26" s="10" t="s">
        <v>58</v>
      </c>
      <c r="Q26" s="23"/>
      <c r="R26" s="23"/>
      <c r="S26" s="24" t="str">
        <f aca="false">IF(COUNTIF(D26:R26,"A")+COUNTIF(D26:R26,"A/R")&lt;&gt;1,"Revisar A",IF(COUNTIF(D26:R26,"R")+COUNTIF(D26:R26,"A/R")=0,"Falta R","OK"))</f>
        <v>OK</v>
      </c>
    </row>
    <row r="27" customFormat="false" ht="15" hidden="false" customHeight="false" outlineLevel="0" collapsed="false">
      <c r="A27" s="13" t="s">
        <v>134</v>
      </c>
      <c r="B27" s="13" t="s">
        <v>135</v>
      </c>
      <c r="C27" s="13" t="s">
        <v>136</v>
      </c>
      <c r="D27" s="23"/>
      <c r="E27" s="23"/>
      <c r="F27" s="12" t="s">
        <v>64</v>
      </c>
      <c r="G27" s="23"/>
      <c r="H27" s="12" t="s">
        <v>64</v>
      </c>
      <c r="I27" s="23"/>
      <c r="J27" s="9" t="s">
        <v>56</v>
      </c>
      <c r="K27" s="23"/>
      <c r="L27" s="10" t="s">
        <v>58</v>
      </c>
      <c r="M27" s="23"/>
      <c r="N27" s="11" t="s">
        <v>62</v>
      </c>
      <c r="O27" s="23"/>
      <c r="P27" s="23"/>
      <c r="Q27" s="23"/>
      <c r="R27" s="23"/>
      <c r="S27" s="24" t="str">
        <f aca="false">IF(COUNTIF(D27:R27,"A")+COUNTIF(D27:R27,"A/R")&lt;&gt;1,"Revisar A",IF(COUNTIF(D27:R27,"R")+COUNTIF(D27:R27,"A/R")=0,"Falta R","OK"))</f>
        <v>OK</v>
      </c>
    </row>
    <row r="28" customFormat="false" ht="15" hidden="false" customHeight="false" outlineLevel="0" collapsed="false">
      <c r="A28" s="13" t="s">
        <v>134</v>
      </c>
      <c r="B28" s="13" t="s">
        <v>137</v>
      </c>
      <c r="C28" s="13" t="s">
        <v>138</v>
      </c>
      <c r="D28" s="12" t="s">
        <v>64</v>
      </c>
      <c r="E28" s="23"/>
      <c r="F28" s="9" t="s">
        <v>56</v>
      </c>
      <c r="G28" s="23"/>
      <c r="H28" s="11" t="s">
        <v>62</v>
      </c>
      <c r="I28" s="23"/>
      <c r="J28" s="10" t="s">
        <v>58</v>
      </c>
      <c r="K28" s="23"/>
      <c r="L28" s="11" t="s">
        <v>62</v>
      </c>
      <c r="M28" s="23"/>
      <c r="N28" s="23"/>
      <c r="O28" s="23"/>
      <c r="P28" s="23"/>
      <c r="Q28" s="12" t="s">
        <v>64</v>
      </c>
      <c r="R28" s="23"/>
      <c r="S28" s="24" t="str">
        <f aca="false">IF(COUNTIF(D28:R28,"A")+COUNTIF(D28:R28,"A/R")&lt;&gt;1,"Revisar A",IF(COUNTIF(D28:R28,"R")+COUNTIF(D28:R28,"A/R")=0,"Falta R","OK"))</f>
        <v>OK</v>
      </c>
    </row>
    <row r="29" customFormat="false" ht="15" hidden="false" customHeight="false" outlineLevel="0" collapsed="false">
      <c r="A29" s="13" t="s">
        <v>134</v>
      </c>
      <c r="B29" s="13" t="s">
        <v>139</v>
      </c>
      <c r="C29" s="13" t="s">
        <v>140</v>
      </c>
      <c r="D29" s="23"/>
      <c r="E29" s="23"/>
      <c r="F29" s="23"/>
      <c r="G29" s="23"/>
      <c r="H29" s="23"/>
      <c r="I29" s="23"/>
      <c r="J29" s="9" t="s">
        <v>56</v>
      </c>
      <c r="K29" s="23"/>
      <c r="L29" s="10" t="s">
        <v>58</v>
      </c>
      <c r="M29" s="23"/>
      <c r="N29" s="12" t="s">
        <v>64</v>
      </c>
      <c r="O29" s="23"/>
      <c r="P29" s="23"/>
      <c r="Q29" s="23"/>
      <c r="R29" s="11" t="s">
        <v>62</v>
      </c>
      <c r="S29" s="24" t="str">
        <f aca="false">IF(COUNTIF(D29:R29,"A")+COUNTIF(D29:R29,"A/R")&lt;&gt;1,"Revisar A",IF(COUNTIF(D29:R29,"R")+COUNTIF(D29:R29,"A/R")=0,"Falta R","OK"))</f>
        <v>OK</v>
      </c>
    </row>
    <row r="30" customFormat="false" ht="15" hidden="false" customHeight="false" outlineLevel="0" collapsed="false">
      <c r="A30" s="13" t="s">
        <v>141</v>
      </c>
      <c r="B30" s="13" t="s">
        <v>142</v>
      </c>
      <c r="C30" s="13" t="s">
        <v>143</v>
      </c>
      <c r="D30" s="23"/>
      <c r="E30" s="23"/>
      <c r="F30" s="23"/>
      <c r="G30" s="23"/>
      <c r="H30" s="12" t="s">
        <v>64</v>
      </c>
      <c r="I30" s="23"/>
      <c r="J30" s="9" t="s">
        <v>56</v>
      </c>
      <c r="K30" s="11" t="s">
        <v>62</v>
      </c>
      <c r="L30" s="10" t="s">
        <v>58</v>
      </c>
      <c r="M30" s="23"/>
      <c r="N30" s="11" t="s">
        <v>62</v>
      </c>
      <c r="O30" s="23"/>
      <c r="P30" s="11" t="s">
        <v>62</v>
      </c>
      <c r="Q30" s="12" t="s">
        <v>64</v>
      </c>
      <c r="R30" s="23"/>
      <c r="S30" s="24" t="str">
        <f aca="false">IF(COUNTIF(D30:R30,"A")+COUNTIF(D30:R30,"A/R")&lt;&gt;1,"Revisar A",IF(COUNTIF(D30:R30,"R")+COUNTIF(D30:R30,"A/R")=0,"Falta R","OK"))</f>
        <v>OK</v>
      </c>
    </row>
    <row r="31" customFormat="false" ht="15" hidden="false" customHeight="false" outlineLevel="0" collapsed="false">
      <c r="A31" s="13" t="s">
        <v>141</v>
      </c>
      <c r="B31" s="13" t="s">
        <v>144</v>
      </c>
      <c r="C31" s="13" t="s">
        <v>145</v>
      </c>
      <c r="D31" s="23"/>
      <c r="E31" s="23"/>
      <c r="F31" s="23"/>
      <c r="G31" s="23"/>
      <c r="H31" s="23"/>
      <c r="I31" s="23"/>
      <c r="J31" s="9" t="s">
        <v>56</v>
      </c>
      <c r="K31" s="12" t="s">
        <v>64</v>
      </c>
      <c r="L31" s="10" t="s">
        <v>58</v>
      </c>
      <c r="M31" s="23"/>
      <c r="N31" s="11" t="s">
        <v>62</v>
      </c>
      <c r="O31" s="23"/>
      <c r="P31" s="23"/>
      <c r="Q31" s="23"/>
      <c r="R31" s="23"/>
      <c r="S31" s="24" t="str">
        <f aca="false">IF(COUNTIF(D31:R31,"A")+COUNTIF(D31:R31,"A/R")&lt;&gt;1,"Revisar A",IF(COUNTIF(D31:R31,"R")+COUNTIF(D31:R31,"A/R")=0,"Falta R","OK"))</f>
        <v>OK</v>
      </c>
    </row>
    <row r="32" customFormat="false" ht="15" hidden="false" customHeight="false" outlineLevel="0" collapsed="false">
      <c r="A32" s="13" t="s">
        <v>141</v>
      </c>
      <c r="B32" s="13" t="s">
        <v>146</v>
      </c>
      <c r="C32" s="13" t="s">
        <v>147</v>
      </c>
      <c r="D32" s="23"/>
      <c r="E32" s="23"/>
      <c r="F32" s="23"/>
      <c r="G32" s="23"/>
      <c r="H32" s="23"/>
      <c r="I32" s="23"/>
      <c r="J32" s="9" t="s">
        <v>56</v>
      </c>
      <c r="K32" s="11" t="s">
        <v>62</v>
      </c>
      <c r="L32" s="10" t="s">
        <v>58</v>
      </c>
      <c r="M32" s="23"/>
      <c r="N32" s="12" t="s">
        <v>64</v>
      </c>
      <c r="O32" s="23"/>
      <c r="P32" s="23"/>
      <c r="Q32" s="23"/>
      <c r="R32" s="23"/>
      <c r="S32" s="24" t="str">
        <f aca="false">IF(COUNTIF(D32:R32,"A")+COUNTIF(D32:R32,"A/R")&lt;&gt;1,"Revisar A",IF(COUNTIF(D32:R32,"R")+COUNTIF(D32:R32,"A/R")=0,"Falta R","OK"))</f>
        <v>OK</v>
      </c>
    </row>
    <row r="33" customFormat="false" ht="15" hidden="false" customHeight="false" outlineLevel="0" collapsed="false">
      <c r="A33" s="13" t="s">
        <v>141</v>
      </c>
      <c r="B33" s="13" t="s">
        <v>148</v>
      </c>
      <c r="C33" s="13" t="s">
        <v>149</v>
      </c>
      <c r="D33" s="23"/>
      <c r="E33" s="23"/>
      <c r="F33" s="23"/>
      <c r="G33" s="23"/>
      <c r="H33" s="23"/>
      <c r="I33" s="23"/>
      <c r="J33" s="9" t="s">
        <v>56</v>
      </c>
      <c r="K33" s="11" t="s">
        <v>62</v>
      </c>
      <c r="L33" s="10" t="s">
        <v>58</v>
      </c>
      <c r="M33" s="23"/>
      <c r="N33" s="11" t="s">
        <v>62</v>
      </c>
      <c r="O33" s="23"/>
      <c r="P33" s="23"/>
      <c r="Q33" s="12" t="s">
        <v>64</v>
      </c>
      <c r="R33" s="23"/>
      <c r="S33" s="24" t="str">
        <f aca="false">IF(COUNTIF(D33:R33,"A")+COUNTIF(D33:R33,"A/R")&lt;&gt;1,"Revisar A",IF(COUNTIF(D33:R33,"R")+COUNTIF(D33:R33,"A/R")=0,"Falta R","OK"))</f>
        <v>OK</v>
      </c>
    </row>
    <row r="34" customFormat="false" ht="15" hidden="false" customHeight="false" outlineLevel="0" collapsed="false">
      <c r="A34" s="13" t="s">
        <v>141</v>
      </c>
      <c r="B34" s="13" t="s">
        <v>150</v>
      </c>
      <c r="C34" s="13" t="s">
        <v>151</v>
      </c>
      <c r="D34" s="23"/>
      <c r="E34" s="23"/>
      <c r="F34" s="23"/>
      <c r="G34" s="23"/>
      <c r="H34" s="23"/>
      <c r="I34" s="23"/>
      <c r="J34" s="9" t="s">
        <v>56</v>
      </c>
      <c r="K34" s="23"/>
      <c r="L34" s="10" t="s">
        <v>58</v>
      </c>
      <c r="M34" s="23"/>
      <c r="N34" s="11" t="s">
        <v>62</v>
      </c>
      <c r="O34" s="23"/>
      <c r="P34" s="23"/>
      <c r="Q34" s="23"/>
      <c r="R34" s="23"/>
      <c r="S34" s="24" t="str">
        <f aca="false">IF(COUNTIF(D34:R34,"A")+COUNTIF(D34:R34,"A/R")&lt;&gt;1,"Revisar A",IF(COUNTIF(D34:R34,"R")+COUNTIF(D34:R34,"A/R")=0,"Falta R","OK"))</f>
        <v>OK</v>
      </c>
    </row>
    <row r="35" customFormat="false" ht="15" hidden="false" customHeight="false" outlineLevel="0" collapsed="false">
      <c r="A35" s="13" t="s">
        <v>152</v>
      </c>
      <c r="B35" s="13" t="s">
        <v>153</v>
      </c>
      <c r="C35" s="13" t="s">
        <v>154</v>
      </c>
      <c r="D35" s="23"/>
      <c r="E35" s="23"/>
      <c r="F35" s="23"/>
      <c r="G35" s="23"/>
      <c r="H35" s="23"/>
      <c r="I35" s="23"/>
      <c r="J35" s="9" t="s">
        <v>56</v>
      </c>
      <c r="K35" s="10" t="s">
        <v>58</v>
      </c>
      <c r="L35" s="11" t="s">
        <v>62</v>
      </c>
      <c r="M35" s="23"/>
      <c r="N35" s="23"/>
      <c r="O35" s="23"/>
      <c r="P35" s="23"/>
      <c r="Q35" s="12" t="s">
        <v>64</v>
      </c>
      <c r="R35" s="23"/>
      <c r="S35" s="24" t="str">
        <f aca="false">IF(COUNTIF(D35:R35,"A")+COUNTIF(D35:R35,"A/R")&lt;&gt;1,"Revisar A",IF(COUNTIF(D35:R35,"R")+COUNTIF(D35:R35,"A/R")=0,"Falta R","OK"))</f>
        <v>OK</v>
      </c>
    </row>
    <row r="36" customFormat="false" ht="15" hidden="false" customHeight="false" outlineLevel="0" collapsed="false">
      <c r="A36" s="13" t="s">
        <v>152</v>
      </c>
      <c r="B36" s="13" t="s">
        <v>155</v>
      </c>
      <c r="C36" s="13" t="s">
        <v>156</v>
      </c>
      <c r="D36" s="23"/>
      <c r="E36" s="23"/>
      <c r="F36" s="23"/>
      <c r="G36" s="23"/>
      <c r="H36" s="23"/>
      <c r="I36" s="23"/>
      <c r="J36" s="9" t="s">
        <v>56</v>
      </c>
      <c r="K36" s="10" t="s">
        <v>58</v>
      </c>
      <c r="L36" s="23"/>
      <c r="M36" s="23"/>
      <c r="N36" s="23"/>
      <c r="O36" s="23"/>
      <c r="P36" s="23"/>
      <c r="Q36" s="12" t="s">
        <v>64</v>
      </c>
      <c r="R36" s="11" t="s">
        <v>62</v>
      </c>
      <c r="S36" s="24" t="str">
        <f aca="false">IF(COUNTIF(D36:R36,"A")+COUNTIF(D36:R36,"A/R")&lt;&gt;1,"Revisar A",IF(COUNTIF(D36:R36,"R")+COUNTIF(D36:R36,"A/R")=0,"Falta R","OK"))</f>
        <v>OK</v>
      </c>
    </row>
    <row r="37" customFormat="false" ht="15" hidden="false" customHeight="false" outlineLevel="0" collapsed="false">
      <c r="A37" s="13" t="s">
        <v>152</v>
      </c>
      <c r="B37" s="13" t="s">
        <v>157</v>
      </c>
      <c r="C37" s="13" t="s">
        <v>158</v>
      </c>
      <c r="D37" s="23"/>
      <c r="E37" s="23"/>
      <c r="F37" s="23"/>
      <c r="G37" s="23"/>
      <c r="H37" s="12" t="s">
        <v>64</v>
      </c>
      <c r="I37" s="23"/>
      <c r="J37" s="9" t="s">
        <v>56</v>
      </c>
      <c r="K37" s="10" t="s">
        <v>58</v>
      </c>
      <c r="L37" s="11" t="s">
        <v>62</v>
      </c>
      <c r="M37" s="23"/>
      <c r="N37" s="23"/>
      <c r="O37" s="23"/>
      <c r="P37" s="23"/>
      <c r="Q37" s="10" t="s">
        <v>58</v>
      </c>
      <c r="R37" s="23"/>
      <c r="S37" s="24" t="str">
        <f aca="false">IF(COUNTIF(D37:R37,"A")+COUNTIF(D37:R37,"A/R")&lt;&gt;1,"Revisar A",IF(COUNTIF(D37:R37,"R")+COUNTIF(D37:R37,"A/R")=0,"Falta R","OK"))</f>
        <v>OK</v>
      </c>
    </row>
    <row r="38" customFormat="false" ht="15" hidden="false" customHeight="false" outlineLevel="0" collapsed="false">
      <c r="A38" s="13" t="s">
        <v>152</v>
      </c>
      <c r="B38" s="13" t="s">
        <v>159</v>
      </c>
      <c r="C38" s="13" t="s">
        <v>160</v>
      </c>
      <c r="D38" s="23"/>
      <c r="E38" s="23"/>
      <c r="F38" s="23"/>
      <c r="G38" s="23"/>
      <c r="H38" s="23"/>
      <c r="I38" s="23"/>
      <c r="J38" s="9" t="s">
        <v>56</v>
      </c>
      <c r="K38" s="10" t="s">
        <v>58</v>
      </c>
      <c r="L38" s="23"/>
      <c r="M38" s="23"/>
      <c r="N38" s="23"/>
      <c r="O38" s="23"/>
      <c r="P38" s="23"/>
      <c r="Q38" s="12" t="s">
        <v>64</v>
      </c>
      <c r="R38" s="10" t="s">
        <v>58</v>
      </c>
      <c r="S38" s="24" t="str">
        <f aca="false">IF(COUNTIF(D38:R38,"A")+COUNTIF(D38:R38,"A/R")&lt;&gt;1,"Revisar A",IF(COUNTIF(D38:R38,"R")+COUNTIF(D38:R38,"A/R")=0,"Falta R","OK"))</f>
        <v>OK</v>
      </c>
    </row>
    <row r="39" customFormat="false" ht="15" hidden="false" customHeight="false" outlineLevel="0" collapsed="false">
      <c r="A39" s="13" t="s">
        <v>161</v>
      </c>
      <c r="B39" s="13" t="s">
        <v>162</v>
      </c>
      <c r="C39" s="13" t="s">
        <v>163</v>
      </c>
      <c r="D39" s="23"/>
      <c r="E39" s="12" t="s">
        <v>64</v>
      </c>
      <c r="F39" s="23"/>
      <c r="G39" s="23"/>
      <c r="H39" s="12" t="s">
        <v>64</v>
      </c>
      <c r="I39" s="23"/>
      <c r="J39" s="9" t="s">
        <v>56</v>
      </c>
      <c r="K39" s="23"/>
      <c r="L39" s="10" t="s">
        <v>58</v>
      </c>
      <c r="M39" s="23"/>
      <c r="N39" s="11" t="s">
        <v>62</v>
      </c>
      <c r="O39" s="23"/>
      <c r="P39" s="23"/>
      <c r="Q39" s="23"/>
      <c r="R39" s="23"/>
      <c r="S39" s="24" t="str">
        <f aca="false">IF(COUNTIF(D39:R39,"A")+COUNTIF(D39:R39,"A/R")&lt;&gt;1,"Revisar A",IF(COUNTIF(D39:R39,"R")+COUNTIF(D39:R39,"A/R")=0,"Falta R","OK"))</f>
        <v>OK</v>
      </c>
    </row>
    <row r="40" customFormat="false" ht="15" hidden="false" customHeight="false" outlineLevel="0" collapsed="false">
      <c r="A40" s="13" t="s">
        <v>161</v>
      </c>
      <c r="B40" s="13" t="s">
        <v>164</v>
      </c>
      <c r="C40" s="13" t="s">
        <v>165</v>
      </c>
      <c r="D40" s="23"/>
      <c r="E40" s="12" t="s">
        <v>64</v>
      </c>
      <c r="F40" s="23"/>
      <c r="G40" s="23"/>
      <c r="H40" s="9" t="s">
        <v>56</v>
      </c>
      <c r="I40" s="23"/>
      <c r="J40" s="12" t="s">
        <v>64</v>
      </c>
      <c r="K40" s="23"/>
      <c r="L40" s="11" t="s">
        <v>62</v>
      </c>
      <c r="M40" s="23"/>
      <c r="N40" s="10" t="s">
        <v>58</v>
      </c>
      <c r="O40" s="23"/>
      <c r="P40" s="23"/>
      <c r="Q40" s="23"/>
      <c r="R40" s="23"/>
      <c r="S40" s="24" t="str">
        <f aca="false">IF(COUNTIF(D40:R40,"A")+COUNTIF(D40:R40,"A/R")&lt;&gt;1,"Revisar A",IF(COUNTIF(D40:R40,"R")+COUNTIF(D40:R40,"A/R")=0,"Falta R","OK"))</f>
        <v>OK</v>
      </c>
    </row>
    <row r="41" customFormat="false" ht="15" hidden="false" customHeight="false" outlineLevel="0" collapsed="false">
      <c r="A41" s="13" t="s">
        <v>161</v>
      </c>
      <c r="B41" s="13" t="s">
        <v>166</v>
      </c>
      <c r="C41" s="13" t="s">
        <v>167</v>
      </c>
      <c r="D41" s="23"/>
      <c r="E41" s="12" t="s">
        <v>64</v>
      </c>
      <c r="F41" s="23"/>
      <c r="G41" s="23"/>
      <c r="H41" s="23"/>
      <c r="I41" s="11" t="s">
        <v>62</v>
      </c>
      <c r="J41" s="9" t="s">
        <v>56</v>
      </c>
      <c r="K41" s="23"/>
      <c r="L41" s="23"/>
      <c r="M41" s="23"/>
      <c r="N41" s="11" t="s">
        <v>62</v>
      </c>
      <c r="O41" s="23"/>
      <c r="P41" s="10" t="s">
        <v>58</v>
      </c>
      <c r="Q41" s="23"/>
      <c r="R41" s="23"/>
      <c r="S41" s="24" t="str">
        <f aca="false">IF(COUNTIF(D41:R41,"A")+COUNTIF(D41:R41,"A/R")&lt;&gt;1,"Revisar A",IF(COUNTIF(D41:R41,"R")+COUNTIF(D41:R41,"A/R")=0,"Falta R","OK"))</f>
        <v>OK</v>
      </c>
    </row>
    <row r="42" customFormat="false" ht="15" hidden="false" customHeight="false" outlineLevel="0" collapsed="false">
      <c r="A42" s="13" t="s">
        <v>161</v>
      </c>
      <c r="B42" s="13" t="s">
        <v>168</v>
      </c>
      <c r="C42" s="13" t="s">
        <v>169</v>
      </c>
      <c r="D42" s="23"/>
      <c r="E42" s="12" t="s">
        <v>64</v>
      </c>
      <c r="F42" s="23"/>
      <c r="G42" s="23"/>
      <c r="H42" s="23"/>
      <c r="I42" s="23"/>
      <c r="J42" s="9" t="s">
        <v>56</v>
      </c>
      <c r="K42" s="11" t="s">
        <v>62</v>
      </c>
      <c r="L42" s="10" t="s">
        <v>58</v>
      </c>
      <c r="M42" s="23"/>
      <c r="N42" s="11" t="s">
        <v>62</v>
      </c>
      <c r="O42" s="23"/>
      <c r="P42" s="11" t="s">
        <v>62</v>
      </c>
      <c r="Q42" s="23"/>
      <c r="R42" s="23"/>
      <c r="S42" s="24" t="str">
        <f aca="false">IF(COUNTIF(D42:R42,"A")+COUNTIF(D42:R42,"A/R")&lt;&gt;1,"Revisar A",IF(COUNTIF(D42:R42,"R")+COUNTIF(D42:R42,"A/R")=0,"Falta R","OK"))</f>
        <v>OK</v>
      </c>
    </row>
    <row r="43" customFormat="false" ht="15" hidden="false" customHeight="false" outlineLevel="0" collapsed="false">
      <c r="A43" s="13" t="s">
        <v>170</v>
      </c>
      <c r="B43" s="13" t="s">
        <v>171</v>
      </c>
      <c r="C43" s="13" t="s">
        <v>172</v>
      </c>
      <c r="D43" s="23"/>
      <c r="E43" s="23"/>
      <c r="F43" s="9" t="s">
        <v>56</v>
      </c>
      <c r="G43" s="23"/>
      <c r="H43" s="23"/>
      <c r="I43" s="10" t="s">
        <v>58</v>
      </c>
      <c r="J43" s="11" t="s">
        <v>62</v>
      </c>
      <c r="K43" s="23"/>
      <c r="L43" s="23"/>
      <c r="M43" s="23"/>
      <c r="N43" s="23"/>
      <c r="O43" s="12" t="s">
        <v>64</v>
      </c>
      <c r="P43" s="10" t="s">
        <v>58</v>
      </c>
      <c r="Q43" s="23"/>
      <c r="R43" s="23"/>
      <c r="S43" s="24" t="str">
        <f aca="false">IF(COUNTIF(D43:R43,"A")+COUNTIF(D43:R43,"A/R")&lt;&gt;1,"Revisar A",IF(COUNTIF(D43:R43,"R")+COUNTIF(D43:R43,"A/R")=0,"Falta R","OK"))</f>
        <v>OK</v>
      </c>
    </row>
    <row r="44" customFormat="false" ht="15" hidden="false" customHeight="false" outlineLevel="0" collapsed="false">
      <c r="A44" s="13" t="s">
        <v>170</v>
      </c>
      <c r="B44" s="13" t="s">
        <v>173</v>
      </c>
      <c r="C44" s="13" t="s">
        <v>174</v>
      </c>
      <c r="D44" s="23"/>
      <c r="E44" s="23"/>
      <c r="F44" s="9" t="s">
        <v>56</v>
      </c>
      <c r="G44" s="23"/>
      <c r="H44" s="23"/>
      <c r="I44" s="23"/>
      <c r="J44" s="12" t="s">
        <v>64</v>
      </c>
      <c r="K44" s="23"/>
      <c r="L44" s="23"/>
      <c r="M44" s="23"/>
      <c r="N44" s="23"/>
      <c r="O44" s="11" t="s">
        <v>62</v>
      </c>
      <c r="P44" s="10" t="s">
        <v>58</v>
      </c>
      <c r="Q44" s="11" t="s">
        <v>62</v>
      </c>
      <c r="R44" s="23"/>
      <c r="S44" s="24" t="str">
        <f aca="false">IF(COUNTIF(D44:R44,"A")+COUNTIF(D44:R44,"A/R")&lt;&gt;1,"Revisar A",IF(COUNTIF(D44:R44,"R")+COUNTIF(D44:R44,"A/R")=0,"Falta R","OK"))</f>
        <v>OK</v>
      </c>
    </row>
    <row r="45" customFormat="false" ht="15" hidden="false" customHeight="false" outlineLevel="0" collapsed="false">
      <c r="A45" s="13" t="s">
        <v>170</v>
      </c>
      <c r="B45" s="13" t="s">
        <v>175</v>
      </c>
      <c r="C45" s="13" t="s">
        <v>176</v>
      </c>
      <c r="D45" s="23"/>
      <c r="E45" s="23"/>
      <c r="F45" s="11" t="s">
        <v>62</v>
      </c>
      <c r="G45" s="23"/>
      <c r="H45" s="23"/>
      <c r="I45" s="23"/>
      <c r="J45" s="9" t="s">
        <v>56</v>
      </c>
      <c r="K45" s="23"/>
      <c r="L45" s="10" t="s">
        <v>58</v>
      </c>
      <c r="M45" s="23"/>
      <c r="N45" s="23"/>
      <c r="O45" s="23"/>
      <c r="P45" s="12" t="s">
        <v>64</v>
      </c>
      <c r="Q45" s="23"/>
      <c r="R45" s="23"/>
      <c r="S45" s="24" t="str">
        <f aca="false">IF(COUNTIF(D45:R45,"A")+COUNTIF(D45:R45,"A/R")&lt;&gt;1,"Revisar A",IF(COUNTIF(D45:R45,"R")+COUNTIF(D45:R45,"A/R")=0,"Falta R","OK"))</f>
        <v>OK</v>
      </c>
    </row>
    <row r="46" customFormat="false" ht="15" hidden="false" customHeight="false" outlineLevel="0" collapsed="false">
      <c r="A46" s="13" t="s">
        <v>170</v>
      </c>
      <c r="B46" s="13" t="s">
        <v>177</v>
      </c>
      <c r="C46" s="13" t="s">
        <v>178</v>
      </c>
      <c r="D46" s="12" t="s">
        <v>64</v>
      </c>
      <c r="E46" s="23"/>
      <c r="F46" s="9" t="s">
        <v>56</v>
      </c>
      <c r="G46" s="23"/>
      <c r="H46" s="23"/>
      <c r="I46" s="23"/>
      <c r="J46" s="23"/>
      <c r="K46" s="23"/>
      <c r="L46" s="23"/>
      <c r="M46" s="23"/>
      <c r="N46" s="23"/>
      <c r="O46" s="11" t="s">
        <v>62</v>
      </c>
      <c r="P46" s="10" t="s">
        <v>58</v>
      </c>
      <c r="Q46" s="23"/>
      <c r="R46" s="11" t="s">
        <v>62</v>
      </c>
      <c r="S46" s="24" t="str">
        <f aca="false">IF(COUNTIF(D46:R46,"A")+COUNTIF(D46:R46,"A/R")&lt;&gt;1,"Revisar A",IF(COUNTIF(D46:R46,"R")+COUNTIF(D46:R46,"A/R")=0,"Falta R","OK"))</f>
        <v>OK</v>
      </c>
    </row>
    <row r="47" customFormat="false" ht="15" hidden="false" customHeight="false" outlineLevel="0" collapsed="false">
      <c r="A47" s="13" t="s">
        <v>170</v>
      </c>
      <c r="B47" s="13" t="s">
        <v>179</v>
      </c>
      <c r="C47" s="13" t="s">
        <v>180</v>
      </c>
      <c r="D47" s="23"/>
      <c r="E47" s="23"/>
      <c r="F47" s="9" t="s">
        <v>56</v>
      </c>
      <c r="G47" s="23"/>
      <c r="H47" s="23"/>
      <c r="I47" s="23"/>
      <c r="J47" s="12" t="s">
        <v>64</v>
      </c>
      <c r="K47" s="23"/>
      <c r="L47" s="23"/>
      <c r="M47" s="23"/>
      <c r="N47" s="23"/>
      <c r="O47" s="11" t="s">
        <v>62</v>
      </c>
      <c r="P47" s="10" t="s">
        <v>58</v>
      </c>
      <c r="Q47" s="11" t="s">
        <v>62</v>
      </c>
      <c r="R47" s="23"/>
      <c r="S47" s="24" t="str">
        <f aca="false">IF(COUNTIF(D47:R47,"A")+COUNTIF(D47:R47,"A/R")&lt;&gt;1,"Revisar A",IF(COUNTIF(D47:R47,"R")+COUNTIF(D47:R47,"A/R")=0,"Falta R","OK"))</f>
        <v>OK</v>
      </c>
    </row>
    <row r="49" customFormat="false" ht="15" hidden="false" customHeight="false" outlineLevel="0" collapsed="false">
      <c r="A49" s="15" t="s">
        <v>538</v>
      </c>
    </row>
  </sheetData>
  <mergeCells count="2">
    <mergeCell ref="D2:G2"/>
    <mergeCell ref="H2:R2"/>
  </mergeCells>
  <dataValidations count="1">
    <dataValidation allowBlank="true" errorStyle="stop" operator="between" showDropDown="false" showErrorMessage="false" showInputMessage="false" sqref="D4:R47" type="list">
      <formula1>"R,A,A/R,C,I"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8C9EB"/>
    <pageSetUpPr fitToPage="true"/>
  </sheetPr>
  <dimension ref="A1:U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6"/>
    <col collapsed="false" customWidth="true" hidden="false" outlineLevel="0" max="4" min="4" style="0" width="40"/>
    <col collapsed="false" customWidth="true" hidden="false" outlineLevel="0" max="20" min="5" style="0" width="11"/>
    <col collapsed="false" customWidth="true" hidden="false" outlineLevel="0" max="21" min="21" style="0" width="12"/>
  </cols>
  <sheetData>
    <row r="1" customFormat="false" ht="17.35" hidden="false" customHeight="false" outlineLevel="0" collapsed="false">
      <c r="A1" s="14" t="s">
        <v>539</v>
      </c>
    </row>
    <row r="3" customFormat="false" ht="42" hidden="false" customHeight="true" outlineLevel="0" collapsed="false">
      <c r="A3" s="16" t="s">
        <v>66</v>
      </c>
      <c r="B3" s="16" t="s">
        <v>67</v>
      </c>
      <c r="C3" s="16" t="s">
        <v>68</v>
      </c>
      <c r="D3" s="16" t="s">
        <v>69</v>
      </c>
      <c r="E3" s="16" t="s">
        <v>531</v>
      </c>
      <c r="F3" s="16" t="s">
        <v>532</v>
      </c>
      <c r="G3" s="16" t="s">
        <v>533</v>
      </c>
      <c r="H3" s="16" t="s">
        <v>534</v>
      </c>
      <c r="I3" s="16" t="s">
        <v>535</v>
      </c>
      <c r="J3" s="16" t="s">
        <v>96</v>
      </c>
      <c r="K3" s="16" t="s">
        <v>479</v>
      </c>
      <c r="L3" s="16" t="s">
        <v>473</v>
      </c>
      <c r="M3" s="16" t="s">
        <v>141</v>
      </c>
      <c r="N3" s="16" t="s">
        <v>536</v>
      </c>
      <c r="O3" s="16" t="s">
        <v>536</v>
      </c>
      <c r="P3" s="16" t="s">
        <v>521</v>
      </c>
      <c r="Q3" s="16" t="s">
        <v>514</v>
      </c>
      <c r="R3" s="16" t="s">
        <v>409</v>
      </c>
      <c r="S3" s="16" t="s">
        <v>498</v>
      </c>
      <c r="T3" s="16" t="s">
        <v>537</v>
      </c>
      <c r="U3" s="16" t="s">
        <v>540</v>
      </c>
    </row>
    <row r="4" customFormat="false" ht="15" hidden="false" customHeight="false" outlineLevel="0" collapsed="false">
      <c r="A4" s="13" t="s">
        <v>181</v>
      </c>
      <c r="B4" s="13" t="s">
        <v>96</v>
      </c>
      <c r="C4" s="13" t="s">
        <v>97</v>
      </c>
      <c r="D4" s="13" t="s">
        <v>98</v>
      </c>
      <c r="E4" s="23"/>
      <c r="F4" s="23"/>
      <c r="G4" s="23"/>
      <c r="H4" s="23"/>
      <c r="I4" s="23"/>
      <c r="J4" s="9" t="s">
        <v>60</v>
      </c>
      <c r="K4" s="11" t="s">
        <v>62</v>
      </c>
      <c r="L4" s="23"/>
      <c r="M4" s="23"/>
      <c r="N4" s="23"/>
      <c r="O4" s="23"/>
      <c r="P4" s="23"/>
      <c r="Q4" s="23"/>
      <c r="R4" s="11" t="s">
        <v>62</v>
      </c>
      <c r="S4" s="23"/>
      <c r="T4" s="24" t="str">
        <f aca="false">IF(COUNTIF(E4:S4,"A")+COUNTIF(E4:S4,"A/R")&lt;&gt;1,"Revisar A",IF(COUNTIF(E4:S4,"R")+COUNTIF(E4:S4,"A/R")=0,"Falta R","OK"))</f>
        <v>OK</v>
      </c>
      <c r="U4" s="25" t="n">
        <f aca="false">SUMPRODUCT(--(E4:S4&lt;&gt;RACI!D10:R10))</f>
        <v>5</v>
      </c>
    </row>
    <row r="5" customFormat="false" ht="15" hidden="false" customHeight="false" outlineLevel="0" collapsed="false">
      <c r="A5" s="13" t="s">
        <v>181</v>
      </c>
      <c r="B5" s="13" t="s">
        <v>96</v>
      </c>
      <c r="C5" s="13" t="s">
        <v>101</v>
      </c>
      <c r="D5" s="13" t="s">
        <v>102</v>
      </c>
      <c r="E5" s="23"/>
      <c r="F5" s="23"/>
      <c r="G5" s="23"/>
      <c r="H5" s="23"/>
      <c r="I5" s="23"/>
      <c r="J5" s="9" t="s">
        <v>60</v>
      </c>
      <c r="K5" s="23"/>
      <c r="L5" s="23"/>
      <c r="M5" s="23"/>
      <c r="N5" s="23"/>
      <c r="O5" s="23"/>
      <c r="P5" s="23"/>
      <c r="Q5" s="23"/>
      <c r="R5" s="23"/>
      <c r="S5" s="23"/>
      <c r="T5" s="24" t="str">
        <f aca="false">IF(COUNTIF(E5:S5,"A")+COUNTIF(E5:S5,"A/R")&lt;&gt;1,"Revisar A",IF(COUNTIF(E5:S5,"R")+COUNTIF(E5:S5,"A/R")=0,"Falta R","OK"))</f>
        <v>OK</v>
      </c>
      <c r="U5" s="25" t="n">
        <f aca="false">SUMPRODUCT(--(E5:S5&lt;&gt;RACI!D12:R12))</f>
        <v>3</v>
      </c>
    </row>
    <row r="6" customFormat="false" ht="15" hidden="false" customHeight="false" outlineLevel="0" collapsed="false">
      <c r="A6" s="13" t="s">
        <v>181</v>
      </c>
      <c r="B6" s="13" t="s">
        <v>96</v>
      </c>
      <c r="C6" s="13" t="s">
        <v>105</v>
      </c>
      <c r="D6" s="13" t="s">
        <v>106</v>
      </c>
      <c r="E6" s="23"/>
      <c r="F6" s="23"/>
      <c r="G6" s="23"/>
      <c r="H6" s="23"/>
      <c r="I6" s="23"/>
      <c r="J6" s="10" t="s">
        <v>58</v>
      </c>
      <c r="K6" s="23"/>
      <c r="L6" s="23"/>
      <c r="M6" s="23"/>
      <c r="N6" s="23"/>
      <c r="O6" s="23"/>
      <c r="P6" s="23"/>
      <c r="Q6" s="23"/>
      <c r="R6" s="23"/>
      <c r="S6" s="23"/>
      <c r="T6" s="24" t="str">
        <f aca="false">IF(COUNTIF(E6:S6,"A")+COUNTIF(E6:S6,"A/R")&lt;&gt;1,"Revisar A",IF(COUNTIF(E6:S6,"R")+COUNTIF(E6:S6,"A/R")=0,"Falta R","OK"))</f>
        <v>Revisar A</v>
      </c>
      <c r="U6" s="25" t="n">
        <f aca="false">SUMPRODUCT(--(E6:S6&lt;&gt;RACI!D14:R14))</f>
        <v>3</v>
      </c>
    </row>
    <row r="7" customFormat="false" ht="15" hidden="false" customHeight="false" outlineLevel="0" collapsed="false">
      <c r="A7" s="13" t="s">
        <v>181</v>
      </c>
      <c r="B7" s="13" t="s">
        <v>107</v>
      </c>
      <c r="C7" s="13" t="s">
        <v>108</v>
      </c>
      <c r="D7" s="13" t="s">
        <v>109</v>
      </c>
      <c r="E7" s="23"/>
      <c r="F7" s="23"/>
      <c r="G7" s="23"/>
      <c r="H7" s="23"/>
      <c r="I7" s="23"/>
      <c r="J7" s="23"/>
      <c r="K7" s="23"/>
      <c r="L7" s="12" t="s">
        <v>64</v>
      </c>
      <c r="M7" s="23"/>
      <c r="N7" s="23"/>
      <c r="O7" s="23"/>
      <c r="P7" s="23"/>
      <c r="Q7" s="23"/>
      <c r="R7" s="9" t="s">
        <v>60</v>
      </c>
      <c r="S7" s="23"/>
      <c r="T7" s="24" t="str">
        <f aca="false">IF(COUNTIF(E7:S7,"A")+COUNTIF(E7:S7,"A/R")&lt;&gt;1,"Revisar A",IF(COUNTIF(E7:S7,"R")+COUNTIF(E7:S7,"A/R")=0,"Falta R","OK"))</f>
        <v>OK</v>
      </c>
      <c r="U7" s="25" t="n">
        <f aca="false">SUMPRODUCT(--(E7:S7&lt;&gt;RACI!D15:R15))</f>
        <v>6</v>
      </c>
    </row>
    <row r="8" customFormat="false" ht="15" hidden="false" customHeight="false" outlineLevel="0" collapsed="false">
      <c r="A8" s="13" t="s">
        <v>181</v>
      </c>
      <c r="B8" s="13" t="s">
        <v>107</v>
      </c>
      <c r="C8" s="13" t="s">
        <v>112</v>
      </c>
      <c r="D8" s="13" t="s">
        <v>113</v>
      </c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10" t="s">
        <v>58</v>
      </c>
      <c r="S8" s="23"/>
      <c r="T8" s="24" t="str">
        <f aca="false">IF(COUNTIF(E8:S8,"A")+COUNTIF(E8:S8,"A/R")&lt;&gt;1,"Revisar A",IF(COUNTIF(E8:S8,"R")+COUNTIF(E8:S8,"A/R")=0,"Falta R","OK"))</f>
        <v>Revisar A</v>
      </c>
      <c r="U8" s="25" t="n">
        <f aca="false">SUMPRODUCT(--(E8:S8&lt;&gt;RACI!D17:R17))</f>
        <v>4</v>
      </c>
    </row>
    <row r="9" customFormat="false" ht="15" hidden="false" customHeight="false" outlineLevel="0" collapsed="false">
      <c r="A9" s="13" t="s">
        <v>181</v>
      </c>
      <c r="B9" s="13" t="s">
        <v>107</v>
      </c>
      <c r="C9" s="13" t="s">
        <v>114</v>
      </c>
      <c r="D9" s="13" t="s">
        <v>115</v>
      </c>
      <c r="E9" s="23"/>
      <c r="F9" s="23"/>
      <c r="G9" s="23"/>
      <c r="H9" s="23"/>
      <c r="I9" s="23"/>
      <c r="J9" s="23"/>
      <c r="K9" s="23"/>
      <c r="L9" s="10" t="s">
        <v>58</v>
      </c>
      <c r="M9" s="23"/>
      <c r="N9" s="23"/>
      <c r="O9" s="23"/>
      <c r="P9" s="23"/>
      <c r="Q9" s="23"/>
      <c r="R9" s="10" t="s">
        <v>58</v>
      </c>
      <c r="S9" s="23"/>
      <c r="T9" s="24" t="str">
        <f aca="false">IF(COUNTIF(E9:S9,"A")+COUNTIF(E9:S9,"A/R")&lt;&gt;1,"Revisar A",IF(COUNTIF(E9:S9,"R")+COUNTIF(E9:S9,"A/R")=0,"Falta R","OK"))</f>
        <v>Revisar A</v>
      </c>
      <c r="U9" s="25" t="n">
        <f aca="false">SUMPRODUCT(--(E9:S9&lt;&gt;RACI!D18:R18))</f>
        <v>4</v>
      </c>
    </row>
    <row r="10" customFormat="false" ht="15" hidden="false" customHeight="false" outlineLevel="0" collapsed="false">
      <c r="A10" s="13" t="s">
        <v>181</v>
      </c>
      <c r="B10" s="13" t="s">
        <v>116</v>
      </c>
      <c r="C10" s="13" t="s">
        <v>117</v>
      </c>
      <c r="D10" s="13" t="s">
        <v>118</v>
      </c>
      <c r="E10" s="23"/>
      <c r="F10" s="23"/>
      <c r="G10" s="23"/>
      <c r="H10" s="23"/>
      <c r="I10" s="23"/>
      <c r="J10" s="23"/>
      <c r="K10" s="23"/>
      <c r="L10" s="10" t="s">
        <v>58</v>
      </c>
      <c r="M10" s="23"/>
      <c r="N10" s="12" t="s">
        <v>64</v>
      </c>
      <c r="O10" s="23"/>
      <c r="P10" s="23"/>
      <c r="Q10" s="23"/>
      <c r="R10" s="9" t="s">
        <v>60</v>
      </c>
      <c r="S10" s="23"/>
      <c r="T10" s="24" t="str">
        <f aca="false">IF(COUNTIF(E10:S10,"A")+COUNTIF(E10:S10,"A/R")&lt;&gt;1,"Revisar A",IF(COUNTIF(E10:S10,"R")+COUNTIF(E10:S10,"A/R")=0,"Falta R","OK"))</f>
        <v>OK</v>
      </c>
      <c r="U10" s="25" t="n">
        <f aca="false">SUMPRODUCT(--(E10:S10&lt;&gt;RACI!D19:R19))</f>
        <v>4</v>
      </c>
    </row>
    <row r="11" customFormat="false" ht="15" hidden="false" customHeight="false" outlineLevel="0" collapsed="false">
      <c r="A11" s="13" t="s">
        <v>181</v>
      </c>
      <c r="B11" s="13" t="s">
        <v>116</v>
      </c>
      <c r="C11" s="13" t="s">
        <v>119</v>
      </c>
      <c r="D11" s="13" t="s">
        <v>120</v>
      </c>
      <c r="E11" s="23"/>
      <c r="F11" s="23"/>
      <c r="G11" s="23"/>
      <c r="H11" s="23"/>
      <c r="I11" s="23"/>
      <c r="J11" s="23"/>
      <c r="K11" s="23"/>
      <c r="L11" s="11" t="s">
        <v>62</v>
      </c>
      <c r="M11" s="23"/>
      <c r="N11" s="23"/>
      <c r="O11" s="23"/>
      <c r="P11" s="23"/>
      <c r="Q11" s="23"/>
      <c r="R11" s="23"/>
      <c r="S11" s="9" t="s">
        <v>60</v>
      </c>
      <c r="T11" s="24" t="str">
        <f aca="false">IF(COUNTIF(E11:S11,"A")+COUNTIF(E11:S11,"A/R")&lt;&gt;1,"Revisar A",IF(COUNTIF(E11:S11,"R")+COUNTIF(E11:S11,"A/R")=0,"Falta R","OK"))</f>
        <v>OK</v>
      </c>
      <c r="U11" s="25" t="n">
        <f aca="false">SUMPRODUCT(--(E11:S11&lt;&gt;RACI!D20:R20))</f>
        <v>3</v>
      </c>
    </row>
    <row r="12" customFormat="false" ht="15" hidden="false" customHeight="false" outlineLevel="0" collapsed="false">
      <c r="A12" s="13" t="s">
        <v>181</v>
      </c>
      <c r="B12" s="13" t="s">
        <v>116</v>
      </c>
      <c r="C12" s="13" t="s">
        <v>121</v>
      </c>
      <c r="D12" s="13" t="s">
        <v>122</v>
      </c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9" t="s">
        <v>60</v>
      </c>
      <c r="S12" s="23"/>
      <c r="T12" s="24" t="str">
        <f aca="false">IF(COUNTIF(E12:S12,"A")+COUNTIF(E12:S12,"A/R")&lt;&gt;1,"Revisar A",IF(COUNTIF(E12:S12,"R")+COUNTIF(E12:S12,"A/R")=0,"Falta R","OK"))</f>
        <v>OK</v>
      </c>
      <c r="U12" s="25" t="n">
        <f aca="false">SUMPRODUCT(--(E12:S12&lt;&gt;RACI!D21:R21))</f>
        <v>4</v>
      </c>
    </row>
    <row r="13" customFormat="false" ht="15" hidden="false" customHeight="false" outlineLevel="0" collapsed="false">
      <c r="A13" s="13" t="s">
        <v>181</v>
      </c>
      <c r="B13" s="13" t="s">
        <v>116</v>
      </c>
      <c r="C13" s="13" t="s">
        <v>123</v>
      </c>
      <c r="D13" s="13" t="s">
        <v>124</v>
      </c>
      <c r="E13" s="23"/>
      <c r="F13" s="23"/>
      <c r="G13" s="23"/>
      <c r="H13" s="23"/>
      <c r="I13" s="9" t="s">
        <v>56</v>
      </c>
      <c r="J13" s="23"/>
      <c r="K13" s="23"/>
      <c r="L13" s="10" t="s">
        <v>58</v>
      </c>
      <c r="M13" s="23"/>
      <c r="N13" s="23"/>
      <c r="O13" s="23"/>
      <c r="P13" s="23"/>
      <c r="Q13" s="23"/>
      <c r="R13" s="11" t="s">
        <v>62</v>
      </c>
      <c r="S13" s="23"/>
      <c r="T13" s="24" t="str">
        <f aca="false">IF(COUNTIF(E13:S13,"A")+COUNTIF(E13:S13,"A/R")&lt;&gt;1,"Revisar A",IF(COUNTIF(E13:S13,"R")+COUNTIF(E13:S13,"A/R")=0,"Falta R","OK"))</f>
        <v>OK</v>
      </c>
      <c r="U13" s="25" t="n">
        <f aca="false">SUMPRODUCT(--(E13:S13&lt;&gt;RACI!D22:R22))</f>
        <v>4</v>
      </c>
    </row>
    <row r="14" customFormat="false" ht="15" hidden="false" customHeight="false" outlineLevel="0" collapsed="false">
      <c r="A14" s="13" t="s">
        <v>181</v>
      </c>
      <c r="B14" s="13" t="s">
        <v>125</v>
      </c>
      <c r="C14" s="13" t="s">
        <v>126</v>
      </c>
      <c r="D14" s="13" t="s">
        <v>127</v>
      </c>
      <c r="E14" s="23"/>
      <c r="F14" s="23"/>
      <c r="G14" s="23"/>
      <c r="H14" s="23"/>
      <c r="I14" s="23"/>
      <c r="J14" s="23"/>
      <c r="K14" s="9" t="s">
        <v>60</v>
      </c>
      <c r="L14" s="23"/>
      <c r="M14" s="23"/>
      <c r="N14" s="23"/>
      <c r="O14" s="23"/>
      <c r="P14" s="10" t="s">
        <v>58</v>
      </c>
      <c r="Q14" s="23"/>
      <c r="R14" s="23"/>
      <c r="S14" s="23"/>
      <c r="T14" s="24" t="str">
        <f aca="false">IF(COUNTIF(E14:S14,"A")+COUNTIF(E14:S14,"A/R")&lt;&gt;1,"Revisar A",IF(COUNTIF(E14:S14,"R")+COUNTIF(E14:S14,"A/R")=0,"Falta R","OK"))</f>
        <v>OK</v>
      </c>
      <c r="U14" s="25" t="n">
        <f aca="false">SUMPRODUCT(--(E14:S14&lt;&gt;RACI!D23:R23))</f>
        <v>5</v>
      </c>
    </row>
    <row r="15" customFormat="false" ht="15" hidden="false" customHeight="false" outlineLevel="0" collapsed="false">
      <c r="A15" s="13" t="s">
        <v>181</v>
      </c>
      <c r="B15" s="13" t="s">
        <v>125</v>
      </c>
      <c r="C15" s="13" t="s">
        <v>128</v>
      </c>
      <c r="D15" s="13" t="s">
        <v>129</v>
      </c>
      <c r="E15" s="23"/>
      <c r="F15" s="23"/>
      <c r="G15" s="23"/>
      <c r="H15" s="23"/>
      <c r="I15" s="23"/>
      <c r="J15" s="23"/>
      <c r="K15" s="9" t="s">
        <v>56</v>
      </c>
      <c r="L15" s="10" t="s">
        <v>58</v>
      </c>
      <c r="M15" s="23"/>
      <c r="N15" s="23"/>
      <c r="O15" s="23"/>
      <c r="P15" s="23"/>
      <c r="Q15" s="23"/>
      <c r="R15" s="11" t="s">
        <v>62</v>
      </c>
      <c r="S15" s="23"/>
      <c r="T15" s="24" t="str">
        <f aca="false">IF(COUNTIF(E15:S15,"A")+COUNTIF(E15:S15,"A/R")&lt;&gt;1,"Revisar A",IF(COUNTIF(E15:S15,"R")+COUNTIF(E15:S15,"A/R")=0,"Falta R","OK"))</f>
        <v>OK</v>
      </c>
      <c r="U15" s="25" t="n">
        <f aca="false">SUMPRODUCT(--(E15:S15&lt;&gt;RACI!D24:R24))</f>
        <v>3</v>
      </c>
    </row>
    <row r="16" customFormat="false" ht="15" hidden="false" customHeight="false" outlineLevel="0" collapsed="false">
      <c r="A16" s="13" t="s">
        <v>181</v>
      </c>
      <c r="B16" s="13" t="s">
        <v>125</v>
      </c>
      <c r="C16" s="13" t="s">
        <v>130</v>
      </c>
      <c r="D16" s="13" t="s">
        <v>131</v>
      </c>
      <c r="E16" s="23"/>
      <c r="F16" s="23"/>
      <c r="G16" s="23"/>
      <c r="H16" s="23"/>
      <c r="I16" s="23"/>
      <c r="J16" s="23"/>
      <c r="K16" s="9" t="s">
        <v>60</v>
      </c>
      <c r="L16" s="23"/>
      <c r="M16" s="23"/>
      <c r="N16" s="23"/>
      <c r="O16" s="23"/>
      <c r="P16" s="23"/>
      <c r="Q16" s="23"/>
      <c r="R16" s="23"/>
      <c r="S16" s="23"/>
      <c r="T16" s="24" t="str">
        <f aca="false">IF(COUNTIF(E16:S16,"A")+COUNTIF(E16:S16,"A/R")&lt;&gt;1,"Revisar A",IF(COUNTIF(E16:S16,"R")+COUNTIF(E16:S16,"A/R")=0,"Falta R","OK"))</f>
        <v>OK</v>
      </c>
      <c r="U16" s="25" t="n">
        <f aca="false">SUMPRODUCT(--(E16:S16&lt;&gt;RACI!D25:R25))</f>
        <v>4</v>
      </c>
    </row>
    <row r="17" customFormat="false" ht="15" hidden="false" customHeight="false" outlineLevel="0" collapsed="false">
      <c r="A17" s="13" t="s">
        <v>181</v>
      </c>
      <c r="B17" s="13" t="s">
        <v>125</v>
      </c>
      <c r="C17" s="13" t="s">
        <v>132</v>
      </c>
      <c r="D17" s="13" t="s">
        <v>133</v>
      </c>
      <c r="E17" s="23"/>
      <c r="F17" s="23"/>
      <c r="G17" s="23"/>
      <c r="H17" s="23"/>
      <c r="I17" s="23"/>
      <c r="J17" s="23"/>
      <c r="K17" s="9" t="s">
        <v>60</v>
      </c>
      <c r="L17" s="23"/>
      <c r="M17" s="23"/>
      <c r="N17" s="23"/>
      <c r="O17" s="23"/>
      <c r="P17" s="10" t="s">
        <v>58</v>
      </c>
      <c r="Q17" s="23"/>
      <c r="R17" s="23"/>
      <c r="S17" s="23"/>
      <c r="T17" s="24" t="str">
        <f aca="false">IF(COUNTIF(E17:S17,"A")+COUNTIF(E17:S17,"A/R")&lt;&gt;1,"Revisar A",IF(COUNTIF(E17:S17,"R")+COUNTIF(E17:S17,"A/R")=0,"Falta R","OK"))</f>
        <v>OK</v>
      </c>
      <c r="U17" s="25" t="n">
        <f aca="false">SUMPRODUCT(--(E17:S17&lt;&gt;RACI!D26:R26))</f>
        <v>4</v>
      </c>
    </row>
    <row r="19" customFormat="false" ht="15" hidden="false" customHeight="false" outlineLevel="0" collapsed="false">
      <c r="A19" s="15" t="s">
        <v>541</v>
      </c>
    </row>
  </sheetData>
  <autoFilter ref="A3:U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8C9EB"/>
    <pageSetUpPr fitToPage="tru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4" min="4" style="0" width="45"/>
    <col collapsed="false" customWidth="true" hidden="false" outlineLevel="0" max="5" min="5" style="0" width="55"/>
    <col collapsed="false" customWidth="true" hidden="false" outlineLevel="0" max="6" min="6" style="0" width="40"/>
    <col collapsed="false" customWidth="true" hidden="false" outlineLevel="0" max="7" min="7" style="0" width="32"/>
  </cols>
  <sheetData>
    <row r="1" customFormat="false" ht="15" hidden="false" customHeight="false" outlineLevel="0" collapsed="false">
      <c r="A1" s="9" t="s">
        <v>542</v>
      </c>
      <c r="B1" s="9" t="s">
        <v>543</v>
      </c>
      <c r="C1" s="9" t="s">
        <v>544</v>
      </c>
      <c r="D1" s="9" t="s">
        <v>545</v>
      </c>
      <c r="E1" s="9" t="s">
        <v>546</v>
      </c>
      <c r="F1" s="9" t="s">
        <v>547</v>
      </c>
      <c r="G1" s="9" t="s">
        <v>41</v>
      </c>
    </row>
    <row r="2" customFormat="false" ht="23.85" hidden="false" customHeight="false" outlineLevel="0" collapsed="false">
      <c r="A2" s="13" t="s">
        <v>290</v>
      </c>
      <c r="B2" s="13" t="s">
        <v>531</v>
      </c>
      <c r="C2" s="13" t="s">
        <v>548</v>
      </c>
      <c r="D2" s="13" t="s">
        <v>549</v>
      </c>
      <c r="E2" s="13" t="s">
        <v>550</v>
      </c>
      <c r="F2" s="13" t="s">
        <v>551</v>
      </c>
      <c r="G2" s="13" t="s">
        <v>552</v>
      </c>
    </row>
    <row r="3" customFormat="false" ht="23.85" hidden="false" customHeight="false" outlineLevel="0" collapsed="false">
      <c r="A3" s="13" t="s">
        <v>291</v>
      </c>
      <c r="B3" s="13" t="s">
        <v>532</v>
      </c>
      <c r="C3" s="13" t="s">
        <v>548</v>
      </c>
      <c r="D3" s="13" t="s">
        <v>553</v>
      </c>
      <c r="E3" s="13" t="s">
        <v>554</v>
      </c>
      <c r="F3" s="13" t="s">
        <v>555</v>
      </c>
      <c r="G3" s="13" t="s">
        <v>556</v>
      </c>
    </row>
    <row r="4" customFormat="false" ht="23.85" hidden="false" customHeight="false" outlineLevel="0" collapsed="false">
      <c r="A4" s="13" t="s">
        <v>296</v>
      </c>
      <c r="B4" s="13" t="s">
        <v>533</v>
      </c>
      <c r="C4" s="13" t="s">
        <v>548</v>
      </c>
      <c r="D4" s="13" t="s">
        <v>557</v>
      </c>
      <c r="E4" s="13" t="s">
        <v>558</v>
      </c>
      <c r="F4" s="13" t="s">
        <v>559</v>
      </c>
      <c r="G4" s="13" t="s">
        <v>560</v>
      </c>
    </row>
    <row r="5" customFormat="false" ht="23.85" hidden="false" customHeight="false" outlineLevel="0" collapsed="false">
      <c r="A5" s="13" t="s">
        <v>561</v>
      </c>
      <c r="B5" s="13" t="s">
        <v>534</v>
      </c>
      <c r="C5" s="13" t="s">
        <v>548</v>
      </c>
      <c r="D5" s="13" t="s">
        <v>562</v>
      </c>
      <c r="E5" s="13" t="s">
        <v>563</v>
      </c>
      <c r="F5" s="13" t="s">
        <v>564</v>
      </c>
      <c r="G5" s="13" t="s">
        <v>565</v>
      </c>
    </row>
    <row r="6" customFormat="false" ht="15" hidden="false" customHeight="false" outlineLevel="0" collapsed="false">
      <c r="A6" s="13" t="s">
        <v>341</v>
      </c>
      <c r="B6" s="13" t="s">
        <v>535</v>
      </c>
      <c r="C6" s="13" t="s">
        <v>566</v>
      </c>
      <c r="D6" s="13" t="s">
        <v>567</v>
      </c>
      <c r="E6" s="13" t="s">
        <v>568</v>
      </c>
      <c r="F6" s="13" t="s">
        <v>569</v>
      </c>
      <c r="G6" s="13" t="s">
        <v>570</v>
      </c>
    </row>
    <row r="7" customFormat="false" ht="23.85" hidden="false" customHeight="false" outlineLevel="0" collapsed="false">
      <c r="A7" s="13" t="s">
        <v>302</v>
      </c>
      <c r="B7" s="13" t="s">
        <v>96</v>
      </c>
      <c r="C7" s="13" t="s">
        <v>566</v>
      </c>
      <c r="D7" s="13" t="s">
        <v>571</v>
      </c>
      <c r="E7" s="13" t="s">
        <v>572</v>
      </c>
      <c r="F7" s="13" t="s">
        <v>573</v>
      </c>
      <c r="G7" s="13" t="s">
        <v>574</v>
      </c>
    </row>
    <row r="8" customFormat="false" ht="23.85" hidden="false" customHeight="false" outlineLevel="0" collapsed="false">
      <c r="A8" s="13" t="s">
        <v>307</v>
      </c>
      <c r="B8" s="13" t="s">
        <v>479</v>
      </c>
      <c r="C8" s="13" t="s">
        <v>566</v>
      </c>
      <c r="D8" s="13" t="s">
        <v>575</v>
      </c>
      <c r="E8" s="13" t="s">
        <v>576</v>
      </c>
      <c r="F8" s="13" t="s">
        <v>577</v>
      </c>
      <c r="G8" s="13" t="s">
        <v>578</v>
      </c>
    </row>
    <row r="9" customFormat="false" ht="23.85" hidden="false" customHeight="false" outlineLevel="0" collapsed="false">
      <c r="A9" s="13" t="s">
        <v>311</v>
      </c>
      <c r="B9" s="13" t="s">
        <v>473</v>
      </c>
      <c r="C9" s="13" t="s">
        <v>566</v>
      </c>
      <c r="D9" s="13" t="s">
        <v>579</v>
      </c>
      <c r="E9" s="13" t="s">
        <v>580</v>
      </c>
      <c r="F9" s="13" t="s">
        <v>581</v>
      </c>
      <c r="G9" s="13" t="s">
        <v>582</v>
      </c>
    </row>
    <row r="10" customFormat="false" ht="23.85" hidden="false" customHeight="false" outlineLevel="0" collapsed="false">
      <c r="A10" s="13" t="s">
        <v>308</v>
      </c>
      <c r="B10" s="13" t="s">
        <v>141</v>
      </c>
      <c r="C10" s="13" t="s">
        <v>566</v>
      </c>
      <c r="D10" s="13" t="s">
        <v>583</v>
      </c>
      <c r="E10" s="13" t="s">
        <v>584</v>
      </c>
      <c r="F10" s="13" t="s">
        <v>585</v>
      </c>
      <c r="G10" s="13" t="s">
        <v>586</v>
      </c>
    </row>
    <row r="11" customFormat="false" ht="23.85" hidden="false" customHeight="false" outlineLevel="0" collapsed="false">
      <c r="A11" s="13" t="s">
        <v>587</v>
      </c>
      <c r="B11" s="13" t="s">
        <v>536</v>
      </c>
      <c r="C11" s="13" t="s">
        <v>566</v>
      </c>
      <c r="D11" s="13" t="s">
        <v>588</v>
      </c>
      <c r="E11" s="13" t="s">
        <v>589</v>
      </c>
      <c r="F11" s="13" t="s">
        <v>590</v>
      </c>
      <c r="G11" s="13" t="s">
        <v>591</v>
      </c>
    </row>
    <row r="12" customFormat="false" ht="23.85" hidden="false" customHeight="false" outlineLevel="0" collapsed="false">
      <c r="A12" s="13" t="s">
        <v>342</v>
      </c>
      <c r="B12" s="13" t="s">
        <v>536</v>
      </c>
      <c r="C12" s="13" t="s">
        <v>566</v>
      </c>
      <c r="D12" s="13" t="s">
        <v>588</v>
      </c>
      <c r="E12" s="13" t="s">
        <v>589</v>
      </c>
      <c r="F12" s="13" t="s">
        <v>592</v>
      </c>
      <c r="G12" s="13"/>
    </row>
    <row r="13" customFormat="false" ht="15" hidden="false" customHeight="false" outlineLevel="0" collapsed="false">
      <c r="A13" s="13" t="s">
        <v>521</v>
      </c>
      <c r="B13" s="13" t="s">
        <v>521</v>
      </c>
      <c r="C13" s="13" t="s">
        <v>566</v>
      </c>
      <c r="D13" s="13" t="s">
        <v>593</v>
      </c>
      <c r="E13" s="13" t="s">
        <v>594</v>
      </c>
      <c r="F13" s="13" t="s">
        <v>595</v>
      </c>
      <c r="G13" s="13" t="s">
        <v>596</v>
      </c>
    </row>
    <row r="14" customFormat="false" ht="23.85" hidden="false" customHeight="false" outlineLevel="0" collapsed="false">
      <c r="A14" s="13" t="s">
        <v>321</v>
      </c>
      <c r="B14" s="13" t="s">
        <v>514</v>
      </c>
      <c r="C14" s="13" t="s">
        <v>566</v>
      </c>
      <c r="D14" s="13" t="s">
        <v>597</v>
      </c>
      <c r="E14" s="13" t="s">
        <v>598</v>
      </c>
      <c r="F14" s="13" t="s">
        <v>599</v>
      </c>
      <c r="G14" s="13" t="s">
        <v>600</v>
      </c>
    </row>
    <row r="15" customFormat="false" ht="15" hidden="false" customHeight="false" outlineLevel="0" collapsed="false">
      <c r="A15" s="13" t="s">
        <v>601</v>
      </c>
      <c r="B15" s="13" t="s">
        <v>409</v>
      </c>
      <c r="C15" s="13" t="s">
        <v>566</v>
      </c>
      <c r="D15" s="13" t="s">
        <v>602</v>
      </c>
      <c r="E15" s="13" t="s">
        <v>603</v>
      </c>
      <c r="F15" s="13" t="s">
        <v>604</v>
      </c>
      <c r="G15" s="13" t="s">
        <v>605</v>
      </c>
    </row>
    <row r="16" customFormat="false" ht="15" hidden="false" customHeight="false" outlineLevel="0" collapsed="false">
      <c r="A16" s="13" t="s">
        <v>317</v>
      </c>
      <c r="B16" s="13" t="s">
        <v>498</v>
      </c>
      <c r="C16" s="13" t="s">
        <v>566</v>
      </c>
      <c r="D16" s="13" t="s">
        <v>606</v>
      </c>
      <c r="E16" s="13" t="s">
        <v>607</v>
      </c>
      <c r="F16" s="13" t="s">
        <v>608</v>
      </c>
      <c r="G16" s="13" t="s">
        <v>609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8C9EB"/>
    <pageSetUpPr fitToPage="true"/>
  </sheetPr>
  <dimension ref="A1: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0"/>
    <col collapsed="false" customWidth="true" hidden="false" outlineLevel="0" max="4" min="3" style="0" width="28"/>
    <col collapsed="false" customWidth="true" hidden="false" outlineLevel="0" max="5" min="5" style="0" width="24"/>
    <col collapsed="false" customWidth="true" hidden="false" outlineLevel="0" max="6" min="6" style="0" width="12"/>
    <col collapsed="false" customWidth="true" hidden="false" outlineLevel="0" max="7" min="7" style="0" width="28"/>
    <col collapsed="false" customWidth="true" hidden="false" outlineLevel="0" max="8" min="8" style="0" width="36"/>
  </cols>
  <sheetData>
    <row r="1" customFormat="false" ht="15" hidden="false" customHeight="false" outlineLevel="0" collapsed="false">
      <c r="A1" s="9" t="s">
        <v>66</v>
      </c>
      <c r="B1" s="9" t="s">
        <v>542</v>
      </c>
      <c r="C1" s="9" t="s">
        <v>610</v>
      </c>
      <c r="D1" s="9" t="s">
        <v>611</v>
      </c>
      <c r="E1" s="9" t="s">
        <v>612</v>
      </c>
      <c r="F1" s="9" t="s">
        <v>613</v>
      </c>
      <c r="G1" s="9" t="s">
        <v>614</v>
      </c>
      <c r="H1" s="9" t="s">
        <v>15</v>
      </c>
    </row>
    <row r="2" customFormat="false" ht="15" hidden="false" customHeight="false" outlineLevel="0" collapsed="false">
      <c r="A2" s="13" t="s">
        <v>80</v>
      </c>
      <c r="B2" s="13" t="s">
        <v>290</v>
      </c>
      <c r="C2" s="13" t="s">
        <v>615</v>
      </c>
      <c r="D2" s="26"/>
      <c r="E2" s="13"/>
      <c r="F2" s="13" t="s">
        <v>616</v>
      </c>
      <c r="G2" s="13"/>
      <c r="H2" s="13"/>
    </row>
    <row r="3" customFormat="false" ht="15" hidden="false" customHeight="false" outlineLevel="0" collapsed="false">
      <c r="A3" s="13" t="s">
        <v>80</v>
      </c>
      <c r="B3" s="13" t="s">
        <v>291</v>
      </c>
      <c r="C3" s="13" t="s">
        <v>617</v>
      </c>
      <c r="D3" s="26"/>
      <c r="E3" s="13"/>
      <c r="F3" s="13" t="s">
        <v>616</v>
      </c>
      <c r="G3" s="13"/>
      <c r="H3" s="13"/>
    </row>
    <row r="4" customFormat="false" ht="15" hidden="false" customHeight="false" outlineLevel="0" collapsed="false">
      <c r="A4" s="13" t="s">
        <v>80</v>
      </c>
      <c r="B4" s="13" t="s">
        <v>561</v>
      </c>
      <c r="C4" s="13" t="s">
        <v>618</v>
      </c>
      <c r="D4" s="26"/>
      <c r="E4" s="13"/>
      <c r="F4" s="13" t="s">
        <v>616</v>
      </c>
      <c r="G4" s="13"/>
      <c r="H4" s="13"/>
    </row>
    <row r="5" customFormat="false" ht="15" hidden="false" customHeight="false" outlineLevel="0" collapsed="false">
      <c r="A5" s="13" t="s">
        <v>80</v>
      </c>
      <c r="B5" s="13" t="s">
        <v>561</v>
      </c>
      <c r="C5" s="13" t="s">
        <v>619</v>
      </c>
      <c r="D5" s="26"/>
      <c r="E5" s="13"/>
      <c r="F5" s="13" t="s">
        <v>616</v>
      </c>
      <c r="G5" s="13"/>
      <c r="H5" s="13"/>
    </row>
    <row r="6" customFormat="false" ht="15" hidden="false" customHeight="false" outlineLevel="0" collapsed="false">
      <c r="A6" s="13" t="s">
        <v>181</v>
      </c>
      <c r="B6" s="13" t="s">
        <v>296</v>
      </c>
      <c r="C6" s="13" t="s">
        <v>620</v>
      </c>
      <c r="D6" s="26"/>
      <c r="E6" s="13"/>
      <c r="F6" s="13" t="s">
        <v>616</v>
      </c>
      <c r="G6" s="13"/>
      <c r="H6" s="13"/>
    </row>
    <row r="7" customFormat="false" ht="15" hidden="false" customHeight="false" outlineLevel="0" collapsed="false">
      <c r="A7" s="13" t="s">
        <v>181</v>
      </c>
      <c r="B7" s="13" t="s">
        <v>341</v>
      </c>
      <c r="C7" s="13" t="s">
        <v>424</v>
      </c>
      <c r="D7" s="26"/>
      <c r="E7" s="13"/>
      <c r="F7" s="13" t="s">
        <v>616</v>
      </c>
      <c r="G7" s="13"/>
      <c r="H7" s="13"/>
    </row>
    <row r="8" customFormat="false" ht="15" hidden="false" customHeight="false" outlineLevel="0" collapsed="false">
      <c r="A8" s="13" t="s">
        <v>181</v>
      </c>
      <c r="B8" s="13" t="s">
        <v>307</v>
      </c>
      <c r="C8" s="13" t="s">
        <v>230</v>
      </c>
      <c r="D8" s="26"/>
      <c r="E8" s="13"/>
      <c r="F8" s="13" t="s">
        <v>621</v>
      </c>
      <c r="G8" s="13"/>
      <c r="H8" s="13"/>
    </row>
    <row r="9" customFormat="false" ht="15" hidden="false" customHeight="false" outlineLevel="0" collapsed="false">
      <c r="A9" s="13" t="s">
        <v>181</v>
      </c>
      <c r="B9" s="13" t="s">
        <v>311</v>
      </c>
      <c r="C9" s="13" t="s">
        <v>230</v>
      </c>
      <c r="D9" s="26"/>
      <c r="E9" s="13"/>
      <c r="F9" s="13" t="s">
        <v>621</v>
      </c>
      <c r="G9" s="13"/>
      <c r="H9" s="13"/>
    </row>
    <row r="10" customFormat="false" ht="15" hidden="false" customHeight="false" outlineLevel="0" collapsed="false">
      <c r="A10" s="13" t="s">
        <v>181</v>
      </c>
      <c r="B10" s="13" t="s">
        <v>308</v>
      </c>
      <c r="C10" s="13" t="s">
        <v>230</v>
      </c>
      <c r="D10" s="26"/>
      <c r="E10" s="13"/>
      <c r="F10" s="13" t="s">
        <v>621</v>
      </c>
      <c r="G10" s="13"/>
      <c r="H10" s="13"/>
    </row>
    <row r="11" customFormat="false" ht="15" hidden="false" customHeight="false" outlineLevel="0" collapsed="false">
      <c r="A11" s="13" t="s">
        <v>181</v>
      </c>
      <c r="B11" s="13" t="s">
        <v>521</v>
      </c>
      <c r="C11" s="13" t="s">
        <v>230</v>
      </c>
      <c r="D11" s="26"/>
      <c r="E11" s="13"/>
      <c r="F11" s="13" t="s">
        <v>622</v>
      </c>
      <c r="G11" s="13"/>
      <c r="H11" s="13"/>
    </row>
    <row r="12" customFormat="false" ht="15" hidden="false" customHeight="false" outlineLevel="0" collapsed="false">
      <c r="A12" s="13" t="s">
        <v>276</v>
      </c>
      <c r="B12" s="13" t="s">
        <v>307</v>
      </c>
      <c r="C12" s="26"/>
      <c r="D12" s="26"/>
      <c r="E12" s="13"/>
      <c r="F12" s="13"/>
      <c r="G12" s="13"/>
      <c r="H12" s="13"/>
    </row>
    <row r="13" customFormat="false" ht="15" hidden="false" customHeight="false" outlineLevel="0" collapsed="false">
      <c r="A13" s="13" t="s">
        <v>276</v>
      </c>
      <c r="B13" s="13" t="s">
        <v>311</v>
      </c>
      <c r="C13" s="26"/>
      <c r="D13" s="26"/>
      <c r="E13" s="13"/>
      <c r="F13" s="13"/>
      <c r="G13" s="13"/>
      <c r="H13" s="13"/>
    </row>
    <row r="14" customFormat="false" ht="15" hidden="false" customHeight="false" outlineLevel="0" collapsed="false">
      <c r="A14" s="13" t="s">
        <v>276</v>
      </c>
      <c r="B14" s="13" t="s">
        <v>308</v>
      </c>
      <c r="C14" s="26"/>
      <c r="D14" s="26"/>
      <c r="E14" s="13"/>
      <c r="F14" s="13"/>
      <c r="G14" s="13"/>
      <c r="H14" s="13"/>
    </row>
    <row r="15" customFormat="false" ht="15" hidden="false" customHeight="false" outlineLevel="0" collapsed="false">
      <c r="A15" s="13" t="s">
        <v>276</v>
      </c>
      <c r="B15" s="13" t="s">
        <v>321</v>
      </c>
      <c r="C15" s="26"/>
      <c r="D15" s="26"/>
      <c r="E15" s="13"/>
      <c r="F15" s="13"/>
      <c r="G15" s="13"/>
      <c r="H15" s="13"/>
    </row>
    <row r="16" customFormat="false" ht="15" hidden="false" customHeight="false" outlineLevel="0" collapsed="false">
      <c r="A16" s="13" t="s">
        <v>277</v>
      </c>
      <c r="B16" s="13" t="s">
        <v>307</v>
      </c>
      <c r="C16" s="26"/>
      <c r="D16" s="26"/>
      <c r="E16" s="13"/>
      <c r="F16" s="13"/>
      <c r="G16" s="13"/>
      <c r="H16" s="13"/>
    </row>
    <row r="17" customFormat="false" ht="15" hidden="false" customHeight="false" outlineLevel="0" collapsed="false">
      <c r="A17" s="13" t="s">
        <v>277</v>
      </c>
      <c r="B17" s="13" t="s">
        <v>311</v>
      </c>
      <c r="C17" s="26"/>
      <c r="D17" s="26"/>
      <c r="E17" s="13"/>
      <c r="F17" s="13"/>
      <c r="G17" s="13"/>
      <c r="H17" s="13"/>
    </row>
    <row r="18" customFormat="false" ht="15" hidden="false" customHeight="false" outlineLevel="0" collapsed="false">
      <c r="A18" s="13" t="s">
        <v>277</v>
      </c>
      <c r="B18" s="13" t="s">
        <v>308</v>
      </c>
      <c r="C18" s="26"/>
      <c r="D18" s="26"/>
      <c r="E18" s="13"/>
      <c r="F18" s="13"/>
      <c r="G18" s="13"/>
      <c r="H18" s="13"/>
    </row>
    <row r="19" customFormat="false" ht="15" hidden="false" customHeight="false" outlineLevel="0" collapsed="false">
      <c r="A19" s="13" t="s">
        <v>277</v>
      </c>
      <c r="B19" s="13" t="s">
        <v>321</v>
      </c>
      <c r="C19" s="26"/>
      <c r="D19" s="26"/>
      <c r="E19" s="13"/>
      <c r="F19" s="13"/>
      <c r="G19" s="13"/>
      <c r="H19" s="13"/>
    </row>
    <row r="20" customFormat="false" ht="15" hidden="false" customHeight="false" outlineLevel="0" collapsed="false">
      <c r="A20" s="13" t="s">
        <v>278</v>
      </c>
      <c r="B20" s="13" t="s">
        <v>307</v>
      </c>
      <c r="C20" s="26"/>
      <c r="D20" s="26"/>
      <c r="E20" s="13"/>
      <c r="F20" s="13"/>
      <c r="G20" s="13"/>
      <c r="H20" s="13"/>
    </row>
    <row r="21" customFormat="false" ht="15" hidden="false" customHeight="false" outlineLevel="0" collapsed="false">
      <c r="A21" s="13" t="s">
        <v>278</v>
      </c>
      <c r="B21" s="13" t="s">
        <v>311</v>
      </c>
      <c r="C21" s="26"/>
      <c r="D21" s="26"/>
      <c r="E21" s="13"/>
      <c r="F21" s="13"/>
      <c r="G21" s="13"/>
      <c r="H21" s="13"/>
    </row>
    <row r="22" customFormat="false" ht="15" hidden="false" customHeight="false" outlineLevel="0" collapsed="false">
      <c r="A22" s="13" t="s">
        <v>278</v>
      </c>
      <c r="B22" s="13" t="s">
        <v>308</v>
      </c>
      <c r="C22" s="26"/>
      <c r="D22" s="26"/>
      <c r="E22" s="13"/>
      <c r="F22" s="13"/>
      <c r="G22" s="13"/>
      <c r="H22" s="13"/>
    </row>
    <row r="23" customFormat="false" ht="15" hidden="false" customHeight="false" outlineLevel="0" collapsed="false">
      <c r="A23" s="13" t="s">
        <v>278</v>
      </c>
      <c r="B23" s="13" t="s">
        <v>321</v>
      </c>
      <c r="C23" s="26"/>
      <c r="D23" s="26"/>
      <c r="E23" s="13"/>
      <c r="F23" s="13"/>
      <c r="G23" s="13"/>
      <c r="H23" s="13"/>
    </row>
    <row r="24" customFormat="false" ht="15" hidden="false" customHeight="false" outlineLevel="0" collapsed="false">
      <c r="A24" s="13" t="s">
        <v>279</v>
      </c>
      <c r="B24" s="13" t="s">
        <v>307</v>
      </c>
      <c r="C24" s="26"/>
      <c r="D24" s="26"/>
      <c r="E24" s="13"/>
      <c r="F24" s="13"/>
      <c r="G24" s="13"/>
      <c r="H24" s="13"/>
    </row>
    <row r="25" customFormat="false" ht="15" hidden="false" customHeight="false" outlineLevel="0" collapsed="false">
      <c r="A25" s="13" t="s">
        <v>279</v>
      </c>
      <c r="B25" s="13" t="s">
        <v>311</v>
      </c>
      <c r="C25" s="26"/>
      <c r="D25" s="26"/>
      <c r="E25" s="13"/>
      <c r="F25" s="13"/>
      <c r="G25" s="13"/>
      <c r="H25" s="13"/>
    </row>
    <row r="26" customFormat="false" ht="15" hidden="false" customHeight="false" outlineLevel="0" collapsed="false">
      <c r="A26" s="13" t="s">
        <v>279</v>
      </c>
      <c r="B26" s="13" t="s">
        <v>308</v>
      </c>
      <c r="C26" s="26"/>
      <c r="D26" s="26"/>
      <c r="E26" s="13"/>
      <c r="F26" s="13"/>
      <c r="G26" s="13"/>
      <c r="H26" s="13"/>
    </row>
    <row r="27" customFormat="false" ht="15" hidden="false" customHeight="false" outlineLevel="0" collapsed="false">
      <c r="A27" s="13" t="s">
        <v>279</v>
      </c>
      <c r="B27" s="13" t="s">
        <v>321</v>
      </c>
      <c r="C27" s="26"/>
      <c r="D27" s="26"/>
      <c r="E27" s="13"/>
      <c r="F27" s="13"/>
      <c r="G27" s="13"/>
      <c r="H27" s="13"/>
    </row>
    <row r="28" customFormat="false" ht="15" hidden="false" customHeight="false" outlineLevel="0" collapsed="false">
      <c r="A28" s="13" t="s">
        <v>280</v>
      </c>
      <c r="B28" s="13" t="s">
        <v>307</v>
      </c>
      <c r="C28" s="26"/>
      <c r="D28" s="26"/>
      <c r="E28" s="13"/>
      <c r="F28" s="13"/>
      <c r="G28" s="13"/>
      <c r="H28" s="13"/>
    </row>
    <row r="29" customFormat="false" ht="15" hidden="false" customHeight="false" outlineLevel="0" collapsed="false">
      <c r="A29" s="13" t="s">
        <v>280</v>
      </c>
      <c r="B29" s="13" t="s">
        <v>311</v>
      </c>
      <c r="C29" s="26"/>
      <c r="D29" s="26"/>
      <c r="E29" s="13"/>
      <c r="F29" s="13"/>
      <c r="G29" s="13"/>
      <c r="H29" s="13"/>
    </row>
    <row r="30" customFormat="false" ht="15" hidden="false" customHeight="false" outlineLevel="0" collapsed="false">
      <c r="A30" s="13" t="s">
        <v>280</v>
      </c>
      <c r="B30" s="13" t="s">
        <v>308</v>
      </c>
      <c r="C30" s="26"/>
      <c r="D30" s="26"/>
      <c r="E30" s="13"/>
      <c r="F30" s="13"/>
      <c r="G30" s="13"/>
      <c r="H30" s="13"/>
    </row>
    <row r="31" customFormat="false" ht="15" hidden="false" customHeight="false" outlineLevel="0" collapsed="false">
      <c r="A31" s="13" t="s">
        <v>280</v>
      </c>
      <c r="B31" s="13" t="s">
        <v>321</v>
      </c>
      <c r="C31" s="26"/>
      <c r="D31" s="26"/>
      <c r="E31" s="13"/>
      <c r="F31" s="13"/>
      <c r="G31" s="13"/>
      <c r="H31" s="13"/>
    </row>
    <row r="32" customFormat="false" ht="15" hidden="false" customHeight="false" outlineLevel="0" collapsed="false">
      <c r="A32" s="13" t="s">
        <v>181</v>
      </c>
      <c r="B32" s="13" t="s">
        <v>521</v>
      </c>
      <c r="C32" s="13" t="s">
        <v>623</v>
      </c>
      <c r="D32" s="26"/>
      <c r="E32" s="13"/>
      <c r="F32" s="13" t="s">
        <v>616</v>
      </c>
      <c r="G32" s="13"/>
      <c r="H32" s="13"/>
    </row>
    <row r="33" customFormat="false" ht="15" hidden="false" customHeight="false" outlineLevel="0" collapsed="false">
      <c r="A33" s="13" t="s">
        <v>181</v>
      </c>
      <c r="B33" s="13" t="s">
        <v>521</v>
      </c>
      <c r="C33" s="13" t="s">
        <v>433</v>
      </c>
      <c r="D33" s="26"/>
      <c r="E33" s="13"/>
      <c r="F33" s="13" t="s">
        <v>624</v>
      </c>
      <c r="G33" s="13"/>
      <c r="H33" s="13"/>
    </row>
    <row r="34" customFormat="false" ht="15" hidden="false" customHeight="false" outlineLevel="0" collapsed="false">
      <c r="A34" s="13" t="s">
        <v>181</v>
      </c>
      <c r="B34" s="13" t="s">
        <v>321</v>
      </c>
      <c r="C34" s="13" t="s">
        <v>433</v>
      </c>
      <c r="D34" s="26"/>
      <c r="E34" s="13"/>
      <c r="F34" s="13" t="s">
        <v>624</v>
      </c>
      <c r="G34" s="13"/>
      <c r="H34" s="13"/>
    </row>
    <row r="35" customFormat="false" ht="15" hidden="false" customHeight="false" outlineLevel="0" collapsed="false">
      <c r="A35" s="13" t="s">
        <v>181</v>
      </c>
      <c r="B35" s="13" t="s">
        <v>601</v>
      </c>
      <c r="C35" s="13" t="s">
        <v>209</v>
      </c>
      <c r="D35" s="26"/>
      <c r="E35" s="13"/>
      <c r="F35" s="13" t="s">
        <v>616</v>
      </c>
      <c r="G35" s="13"/>
      <c r="H35" s="13"/>
    </row>
    <row r="36" customFormat="false" ht="15" hidden="false" customHeight="false" outlineLevel="0" collapsed="false">
      <c r="A36" s="13" t="s">
        <v>80</v>
      </c>
      <c r="B36" s="13" t="s">
        <v>561</v>
      </c>
      <c r="C36" s="13" t="s">
        <v>625</v>
      </c>
      <c r="D36" s="26"/>
      <c r="E36" s="13"/>
      <c r="F36" s="13" t="s">
        <v>616</v>
      </c>
      <c r="G36" s="13"/>
      <c r="H36" s="13"/>
    </row>
    <row r="37" customFormat="false" ht="15" hidden="false" customHeight="false" outlineLevel="0" collapsed="false">
      <c r="A37" s="13" t="s">
        <v>80</v>
      </c>
      <c r="B37" s="13" t="s">
        <v>561</v>
      </c>
      <c r="C37" s="13" t="s">
        <v>626</v>
      </c>
      <c r="D37" s="26"/>
      <c r="E37" s="13"/>
      <c r="F37" s="13" t="s">
        <v>616</v>
      </c>
      <c r="G37" s="13"/>
      <c r="H37" s="13"/>
    </row>
    <row r="38" customFormat="false" ht="15" hidden="false" customHeight="false" outlineLevel="0" collapsed="false">
      <c r="A38" s="13" t="s">
        <v>181</v>
      </c>
      <c r="B38" s="13" t="s">
        <v>601</v>
      </c>
      <c r="C38" s="13" t="s">
        <v>183</v>
      </c>
      <c r="D38" s="26"/>
      <c r="E38" s="13"/>
      <c r="F38" s="13" t="s">
        <v>624</v>
      </c>
      <c r="G38" s="13"/>
      <c r="H38" s="13"/>
    </row>
    <row r="39" customFormat="false" ht="15" hidden="false" customHeight="false" outlineLevel="0" collapsed="false">
      <c r="A39" s="13" t="s">
        <v>181</v>
      </c>
      <c r="B39" s="13" t="s">
        <v>302</v>
      </c>
      <c r="C39" s="13" t="s">
        <v>183</v>
      </c>
      <c r="D39" s="26"/>
      <c r="E39" s="13"/>
      <c r="F39" s="13" t="s">
        <v>627</v>
      </c>
      <c r="G39" s="13"/>
      <c r="H39" s="13"/>
    </row>
    <row r="40" customFormat="false" ht="15" hidden="false" customHeight="false" outlineLevel="0" collapsed="false">
      <c r="A40" s="13" t="s">
        <v>181</v>
      </c>
      <c r="B40" s="13" t="s">
        <v>317</v>
      </c>
      <c r="C40" s="13" t="s">
        <v>183</v>
      </c>
      <c r="D40" s="26"/>
      <c r="E40" s="13"/>
      <c r="F40" s="13" t="s">
        <v>621</v>
      </c>
      <c r="G40" s="13"/>
      <c r="H40" s="13"/>
    </row>
    <row r="41" customFormat="false" ht="15" hidden="false" customHeight="false" outlineLevel="0" collapsed="false">
      <c r="A41" s="13" t="s">
        <v>181</v>
      </c>
      <c r="B41" s="13" t="s">
        <v>587</v>
      </c>
      <c r="C41" s="13" t="s">
        <v>628</v>
      </c>
      <c r="D41" s="26"/>
      <c r="E41" s="13"/>
      <c r="F41" s="13" t="s">
        <v>616</v>
      </c>
      <c r="G41" s="13"/>
      <c r="H41" s="13"/>
    </row>
    <row r="42" customFormat="false" ht="15" hidden="false" customHeight="false" outlineLevel="0" collapsed="false">
      <c r="A42" s="13" t="s">
        <v>181</v>
      </c>
      <c r="B42" s="13" t="s">
        <v>342</v>
      </c>
      <c r="C42" s="13" t="s">
        <v>629</v>
      </c>
      <c r="D42" s="26"/>
      <c r="E42" s="13"/>
      <c r="F42" s="13" t="s">
        <v>616</v>
      </c>
      <c r="G42" s="13"/>
      <c r="H42" s="13"/>
    </row>
    <row r="44" customFormat="false" ht="15" hidden="false" customHeight="false" outlineLevel="0" collapsed="false">
      <c r="A44" s="15" t="s">
        <v>630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8C9EB"/>
    <pageSetUpPr fitToPage="true"/>
  </sheetPr>
  <dimension ref="A1:L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8"/>
    <col collapsed="false" customWidth="true" hidden="false" outlineLevel="0" max="3" min="3" style="0" width="7"/>
    <col collapsed="false" customWidth="true" hidden="false" outlineLevel="0" max="4" min="4" style="0" width="44"/>
    <col collapsed="false" customWidth="true" hidden="false" outlineLevel="0" max="5" min="5" style="0" width="24"/>
    <col collapsed="false" customWidth="true" hidden="false" outlineLevel="0" max="6" min="6" style="0" width="14"/>
    <col collapsed="false" customWidth="true" hidden="false" outlineLevel="0" max="7" min="7" style="0" width="34"/>
    <col collapsed="false" customWidth="true" hidden="false" outlineLevel="0" max="8" min="8" style="0" width="22"/>
    <col collapsed="false" customWidth="true" hidden="false" outlineLevel="0" max="10" min="9" style="0" width="38"/>
    <col collapsed="false" customWidth="true" hidden="false" outlineLevel="0" max="11" min="11" style="0" width="13"/>
    <col collapsed="false" customWidth="true" hidden="false" outlineLevel="0" max="12" min="12" style="0" width="44"/>
  </cols>
  <sheetData>
    <row r="1" customFormat="false" ht="15" hidden="false" customHeight="false" outlineLevel="0" collapsed="false">
      <c r="A1" s="9" t="s">
        <v>66</v>
      </c>
      <c r="B1" s="9" t="s">
        <v>351</v>
      </c>
      <c r="C1" s="9" t="s">
        <v>631</v>
      </c>
      <c r="D1" s="9" t="s">
        <v>632</v>
      </c>
      <c r="E1" s="9" t="s">
        <v>633</v>
      </c>
      <c r="F1" s="9" t="s">
        <v>634</v>
      </c>
      <c r="G1" s="9" t="s">
        <v>635</v>
      </c>
      <c r="H1" s="9" t="s">
        <v>636</v>
      </c>
      <c r="I1" s="9" t="s">
        <v>637</v>
      </c>
      <c r="J1" s="9" t="s">
        <v>638</v>
      </c>
      <c r="K1" s="9" t="s">
        <v>639</v>
      </c>
      <c r="L1" s="9" t="s">
        <v>15</v>
      </c>
    </row>
    <row r="2" customFormat="false" ht="15" hidden="false" customHeight="false" outlineLevel="0" collapsed="false">
      <c r="A2" s="27" t="s">
        <v>80</v>
      </c>
      <c r="B2" s="27" t="s">
        <v>359</v>
      </c>
      <c r="C2" s="27" t="n">
        <v>1</v>
      </c>
      <c r="D2" s="27" t="s">
        <v>640</v>
      </c>
      <c r="E2" s="27" t="s">
        <v>615</v>
      </c>
      <c r="F2" s="27" t="s">
        <v>641</v>
      </c>
      <c r="G2" s="27" t="s">
        <v>290</v>
      </c>
      <c r="H2" s="27"/>
      <c r="I2" s="27"/>
      <c r="J2" s="27"/>
      <c r="K2" s="27"/>
      <c r="L2" s="27"/>
    </row>
    <row r="3" customFormat="false" ht="15" hidden="false" customHeight="false" outlineLevel="0" collapsed="false">
      <c r="A3" s="27" t="s">
        <v>80</v>
      </c>
      <c r="B3" s="27" t="s">
        <v>359</v>
      </c>
      <c r="C3" s="27" t="n">
        <v>2</v>
      </c>
      <c r="D3" s="27" t="s">
        <v>642</v>
      </c>
      <c r="E3" s="27" t="s">
        <v>618</v>
      </c>
      <c r="F3" s="27" t="s">
        <v>641</v>
      </c>
      <c r="G3" s="27"/>
      <c r="H3" s="27"/>
      <c r="I3" s="27" t="s">
        <v>643</v>
      </c>
      <c r="J3" s="27"/>
      <c r="K3" s="27"/>
      <c r="L3" s="27"/>
    </row>
    <row r="4" customFormat="false" ht="15" hidden="false" customHeight="false" outlineLevel="0" collapsed="false">
      <c r="A4" s="27" t="s">
        <v>80</v>
      </c>
      <c r="B4" s="27" t="s">
        <v>359</v>
      </c>
      <c r="C4" s="27" t="n">
        <v>2</v>
      </c>
      <c r="D4" s="27" t="s">
        <v>644</v>
      </c>
      <c r="E4" s="27" t="s">
        <v>645</v>
      </c>
      <c r="F4" s="27" t="s">
        <v>641</v>
      </c>
      <c r="G4" s="27" t="s">
        <v>291</v>
      </c>
      <c r="H4" s="27"/>
      <c r="I4" s="27" t="s">
        <v>643</v>
      </c>
      <c r="J4" s="27"/>
      <c r="K4" s="27"/>
      <c r="L4" s="27"/>
    </row>
    <row r="5" customFormat="false" ht="23.85" hidden="false" customHeight="false" outlineLevel="0" collapsed="false">
      <c r="A5" s="27" t="s">
        <v>80</v>
      </c>
      <c r="B5" s="27" t="s">
        <v>359</v>
      </c>
      <c r="C5" s="27" t="n">
        <v>3</v>
      </c>
      <c r="D5" s="27" t="s">
        <v>646</v>
      </c>
      <c r="E5" s="27" t="s">
        <v>647</v>
      </c>
      <c r="F5" s="27" t="s">
        <v>641</v>
      </c>
      <c r="G5" s="27" t="s">
        <v>561</v>
      </c>
      <c r="H5" s="27"/>
      <c r="I5" s="27" t="s">
        <v>648</v>
      </c>
      <c r="J5" s="27"/>
      <c r="K5" s="27"/>
      <c r="L5" s="27"/>
    </row>
    <row r="6" customFormat="false" ht="23.85" hidden="false" customHeight="false" outlineLevel="0" collapsed="false">
      <c r="A6" s="27" t="s">
        <v>80</v>
      </c>
      <c r="B6" s="27" t="s">
        <v>359</v>
      </c>
      <c r="C6" s="27" t="n">
        <v>3</v>
      </c>
      <c r="D6" s="27" t="s">
        <v>646</v>
      </c>
      <c r="E6" s="27" t="s">
        <v>649</v>
      </c>
      <c r="F6" s="27" t="s">
        <v>641</v>
      </c>
      <c r="G6" s="27" t="s">
        <v>561</v>
      </c>
      <c r="H6" s="27"/>
      <c r="I6" s="27" t="s">
        <v>648</v>
      </c>
      <c r="J6" s="27"/>
      <c r="K6" s="27"/>
      <c r="L6" s="27"/>
    </row>
    <row r="7" customFormat="false" ht="15" hidden="false" customHeight="false" outlineLevel="0" collapsed="false">
      <c r="A7" s="13" t="s">
        <v>80</v>
      </c>
      <c r="B7" s="13" t="s">
        <v>359</v>
      </c>
      <c r="C7" s="13" t="n">
        <v>3</v>
      </c>
      <c r="D7" s="13" t="s">
        <v>650</v>
      </c>
      <c r="E7" s="28" t="s">
        <v>651</v>
      </c>
      <c r="F7" s="13"/>
      <c r="G7" s="13"/>
      <c r="H7" s="13"/>
      <c r="I7" s="13" t="s">
        <v>648</v>
      </c>
      <c r="J7" s="13"/>
      <c r="K7" s="13"/>
      <c r="L7" s="13"/>
    </row>
    <row r="8" customFormat="false" ht="15" hidden="false" customHeight="false" outlineLevel="0" collapsed="false">
      <c r="A8" s="13" t="s">
        <v>80</v>
      </c>
      <c r="B8" s="13" t="s">
        <v>359</v>
      </c>
      <c r="C8" s="13" t="n">
        <v>3</v>
      </c>
      <c r="D8" s="13" t="s">
        <v>650</v>
      </c>
      <c r="E8" s="28" t="s">
        <v>651</v>
      </c>
      <c r="F8" s="13"/>
      <c r="G8" s="13"/>
      <c r="H8" s="13"/>
      <c r="I8" s="13" t="s">
        <v>648</v>
      </c>
      <c r="J8" s="13"/>
      <c r="K8" s="13"/>
      <c r="L8" s="13"/>
    </row>
    <row r="9" customFormat="false" ht="15" hidden="false" customHeight="false" outlineLevel="0" collapsed="false">
      <c r="A9" s="13" t="s">
        <v>80</v>
      </c>
      <c r="B9" s="13" t="s">
        <v>447</v>
      </c>
      <c r="C9" s="13" t="n">
        <v>1</v>
      </c>
      <c r="D9" s="13" t="s">
        <v>652</v>
      </c>
      <c r="E9" s="28" t="s">
        <v>651</v>
      </c>
      <c r="F9" s="13" t="s">
        <v>653</v>
      </c>
      <c r="G9" s="13"/>
      <c r="H9" s="13"/>
      <c r="I9" s="13"/>
      <c r="J9" s="13"/>
      <c r="K9" s="13"/>
      <c r="L9" s="13"/>
    </row>
    <row r="10" customFormat="false" ht="15" hidden="false" customHeight="false" outlineLevel="0" collapsed="false">
      <c r="A10" s="27" t="s">
        <v>80</v>
      </c>
      <c r="B10" s="27" t="s">
        <v>447</v>
      </c>
      <c r="C10" s="27" t="n">
        <v>2</v>
      </c>
      <c r="D10" s="27" t="s">
        <v>654</v>
      </c>
      <c r="E10" s="29" t="s">
        <v>651</v>
      </c>
      <c r="F10" s="27" t="s">
        <v>641</v>
      </c>
      <c r="G10" s="27" t="s">
        <v>290</v>
      </c>
      <c r="H10" s="27"/>
      <c r="I10" s="27" t="s">
        <v>652</v>
      </c>
      <c r="J10" s="27"/>
      <c r="K10" s="27"/>
      <c r="L10" s="27"/>
    </row>
    <row r="11" customFormat="false" ht="15" hidden="false" customHeight="false" outlineLevel="0" collapsed="false">
      <c r="A11" s="27" t="s">
        <v>80</v>
      </c>
      <c r="B11" s="27" t="s">
        <v>447</v>
      </c>
      <c r="C11" s="27" t="n">
        <v>3</v>
      </c>
      <c r="D11" s="27" t="s">
        <v>655</v>
      </c>
      <c r="E11" s="29" t="s">
        <v>651</v>
      </c>
      <c r="F11" s="27" t="s">
        <v>641</v>
      </c>
      <c r="G11" s="27" t="s">
        <v>291</v>
      </c>
      <c r="H11" s="27"/>
      <c r="I11" s="27" t="s">
        <v>290</v>
      </c>
      <c r="J11" s="27"/>
      <c r="K11" s="27"/>
      <c r="L11" s="27"/>
    </row>
    <row r="12" customFormat="false" ht="15" hidden="false" customHeight="false" outlineLevel="0" collapsed="false">
      <c r="A12" s="27" t="s">
        <v>80</v>
      </c>
      <c r="B12" s="27" t="s">
        <v>447</v>
      </c>
      <c r="C12" s="27" t="n">
        <v>3</v>
      </c>
      <c r="D12" s="27" t="s">
        <v>656</v>
      </c>
      <c r="E12" s="29" t="s">
        <v>651</v>
      </c>
      <c r="F12" s="27" t="s">
        <v>641</v>
      </c>
      <c r="G12" s="27" t="s">
        <v>302</v>
      </c>
      <c r="H12" s="27"/>
      <c r="I12" s="27" t="s">
        <v>290</v>
      </c>
      <c r="J12" s="27"/>
      <c r="K12" s="27"/>
      <c r="L12" s="27"/>
    </row>
    <row r="13" customFormat="false" ht="15" hidden="false" customHeight="false" outlineLevel="0" collapsed="false">
      <c r="A13" s="27" t="s">
        <v>80</v>
      </c>
      <c r="B13" s="27" t="s">
        <v>447</v>
      </c>
      <c r="C13" s="27" t="n">
        <v>3</v>
      </c>
      <c r="D13" s="27" t="s">
        <v>657</v>
      </c>
      <c r="E13" s="29" t="s">
        <v>651</v>
      </c>
      <c r="F13" s="27" t="s">
        <v>641</v>
      </c>
      <c r="G13" s="27" t="s">
        <v>296</v>
      </c>
      <c r="H13" s="27"/>
      <c r="I13" s="27" t="s">
        <v>290</v>
      </c>
      <c r="J13" s="27"/>
      <c r="K13" s="27"/>
      <c r="L13" s="27"/>
    </row>
    <row r="14" customFormat="false" ht="23.85" hidden="false" customHeight="false" outlineLevel="0" collapsed="false">
      <c r="A14" s="27" t="s">
        <v>80</v>
      </c>
      <c r="B14" s="27" t="s">
        <v>447</v>
      </c>
      <c r="C14" s="27" t="n">
        <v>3</v>
      </c>
      <c r="D14" s="27" t="s">
        <v>658</v>
      </c>
      <c r="E14" s="29" t="s">
        <v>651</v>
      </c>
      <c r="F14" s="27" t="s">
        <v>641</v>
      </c>
      <c r="G14" s="27" t="s">
        <v>561</v>
      </c>
      <c r="H14" s="27"/>
      <c r="I14" s="27" t="s">
        <v>290</v>
      </c>
      <c r="J14" s="27"/>
      <c r="K14" s="27"/>
      <c r="L14" s="27"/>
    </row>
    <row r="15" customFormat="false" ht="23.85" hidden="false" customHeight="false" outlineLevel="0" collapsed="false">
      <c r="A15" s="27" t="s">
        <v>80</v>
      </c>
      <c r="B15" s="27" t="s">
        <v>447</v>
      </c>
      <c r="C15" s="27" t="n">
        <v>4</v>
      </c>
      <c r="D15" s="27" t="s">
        <v>659</v>
      </c>
      <c r="E15" s="29" t="s">
        <v>651</v>
      </c>
      <c r="F15" s="27" t="s">
        <v>641</v>
      </c>
      <c r="G15" s="27" t="s">
        <v>561</v>
      </c>
      <c r="H15" s="27"/>
      <c r="I15" s="27" t="s">
        <v>660</v>
      </c>
      <c r="J15" s="27"/>
      <c r="K15" s="27"/>
      <c r="L15" s="27"/>
    </row>
    <row r="16" customFormat="false" ht="15" hidden="false" customHeight="false" outlineLevel="0" collapsed="false">
      <c r="A16" s="27" t="s">
        <v>80</v>
      </c>
      <c r="B16" s="27" t="s">
        <v>447</v>
      </c>
      <c r="C16" s="27" t="n">
        <v>3</v>
      </c>
      <c r="D16" s="27" t="s">
        <v>661</v>
      </c>
      <c r="E16" s="29" t="s">
        <v>651</v>
      </c>
      <c r="F16" s="27" t="s">
        <v>641</v>
      </c>
      <c r="G16" s="27" t="s">
        <v>307</v>
      </c>
      <c r="H16" s="27"/>
      <c r="I16" s="27" t="s">
        <v>290</v>
      </c>
      <c r="J16" s="27"/>
      <c r="K16" s="27"/>
      <c r="L16" s="27" t="s">
        <v>662</v>
      </c>
    </row>
    <row r="17" customFormat="false" ht="15" hidden="false" customHeight="false" outlineLevel="0" collapsed="false">
      <c r="A17" s="13" t="s">
        <v>181</v>
      </c>
      <c r="B17" s="13" t="s">
        <v>359</v>
      </c>
      <c r="C17" s="13" t="n">
        <v>1</v>
      </c>
      <c r="D17" s="13" t="s">
        <v>663</v>
      </c>
      <c r="E17" s="13" t="s">
        <v>620</v>
      </c>
      <c r="F17" s="13" t="s">
        <v>653</v>
      </c>
      <c r="G17" s="13" t="s">
        <v>296</v>
      </c>
      <c r="H17" s="13" t="s">
        <v>276</v>
      </c>
      <c r="I17" s="13"/>
      <c r="J17" s="13"/>
      <c r="K17" s="13"/>
      <c r="L17" s="13"/>
    </row>
    <row r="18" customFormat="false" ht="15" hidden="false" customHeight="false" outlineLevel="0" collapsed="false">
      <c r="A18" s="13" t="s">
        <v>181</v>
      </c>
      <c r="B18" s="13" t="s">
        <v>359</v>
      </c>
      <c r="C18" s="13" t="n">
        <v>2</v>
      </c>
      <c r="D18" s="13" t="s">
        <v>664</v>
      </c>
      <c r="E18" s="13" t="s">
        <v>424</v>
      </c>
      <c r="F18" s="13" t="s">
        <v>653</v>
      </c>
      <c r="G18" s="13" t="s">
        <v>341</v>
      </c>
      <c r="H18" s="13"/>
      <c r="I18" s="13" t="s">
        <v>665</v>
      </c>
      <c r="J18" s="13"/>
      <c r="K18" s="13"/>
      <c r="L18" s="13"/>
    </row>
    <row r="19" customFormat="false" ht="15" hidden="false" customHeight="false" outlineLevel="0" collapsed="false">
      <c r="A19" s="27" t="s">
        <v>181</v>
      </c>
      <c r="B19" s="27" t="s">
        <v>359</v>
      </c>
      <c r="C19" s="27" t="n">
        <v>3</v>
      </c>
      <c r="D19" s="27" t="s">
        <v>666</v>
      </c>
      <c r="E19" s="27" t="s">
        <v>230</v>
      </c>
      <c r="F19" s="27" t="s">
        <v>641</v>
      </c>
      <c r="G19" s="27" t="s">
        <v>307</v>
      </c>
      <c r="H19" s="27"/>
      <c r="I19" s="27" t="s">
        <v>667</v>
      </c>
      <c r="J19" s="27"/>
      <c r="K19" s="27"/>
      <c r="L19" s="27"/>
    </row>
    <row r="20" customFormat="false" ht="15" hidden="false" customHeight="false" outlineLevel="0" collapsed="false">
      <c r="A20" s="13" t="s">
        <v>181</v>
      </c>
      <c r="B20" s="13" t="s">
        <v>359</v>
      </c>
      <c r="C20" s="13" t="n">
        <v>3</v>
      </c>
      <c r="D20" s="13" t="s">
        <v>668</v>
      </c>
      <c r="E20" s="13" t="s">
        <v>209</v>
      </c>
      <c r="F20" s="13" t="s">
        <v>409</v>
      </c>
      <c r="G20" s="13" t="s">
        <v>601</v>
      </c>
      <c r="H20" s="13"/>
      <c r="I20" s="13" t="s">
        <v>667</v>
      </c>
      <c r="J20" s="13"/>
      <c r="K20" s="13"/>
      <c r="L20" s="13"/>
    </row>
    <row r="21" customFormat="false" ht="15" hidden="false" customHeight="false" outlineLevel="0" collapsed="false">
      <c r="A21" s="13" t="s">
        <v>181</v>
      </c>
      <c r="B21" s="13" t="s">
        <v>359</v>
      </c>
      <c r="C21" s="13" t="n">
        <v>4</v>
      </c>
      <c r="D21" s="13" t="s">
        <v>669</v>
      </c>
      <c r="E21" s="13" t="s">
        <v>183</v>
      </c>
      <c r="F21" s="13" t="s">
        <v>409</v>
      </c>
      <c r="G21" s="13" t="s">
        <v>601</v>
      </c>
      <c r="H21" s="13"/>
      <c r="I21" s="13" t="s">
        <v>670</v>
      </c>
      <c r="J21" s="13"/>
      <c r="K21" s="13"/>
      <c r="L21" s="13"/>
    </row>
    <row r="22" customFormat="false" ht="15" hidden="false" customHeight="false" outlineLevel="0" collapsed="false">
      <c r="A22" s="13" t="s">
        <v>181</v>
      </c>
      <c r="B22" s="13" t="s">
        <v>359</v>
      </c>
      <c r="C22" s="13" t="n">
        <v>3</v>
      </c>
      <c r="D22" s="13" t="s">
        <v>671</v>
      </c>
      <c r="E22" s="13" t="s">
        <v>623</v>
      </c>
      <c r="F22" s="13" t="s">
        <v>521</v>
      </c>
      <c r="G22" s="13" t="s">
        <v>521</v>
      </c>
      <c r="H22" s="13"/>
      <c r="I22" s="13" t="s">
        <v>667</v>
      </c>
      <c r="J22" s="13"/>
      <c r="K22" s="13"/>
      <c r="L22" s="13"/>
    </row>
    <row r="23" customFormat="false" ht="15" hidden="false" customHeight="false" outlineLevel="0" collapsed="false">
      <c r="A23" s="13" t="s">
        <v>181</v>
      </c>
      <c r="B23" s="13" t="s">
        <v>359</v>
      </c>
      <c r="C23" s="13" t="n">
        <v>4</v>
      </c>
      <c r="D23" s="13" t="s">
        <v>672</v>
      </c>
      <c r="E23" s="13" t="s">
        <v>433</v>
      </c>
      <c r="F23" s="13" t="s">
        <v>521</v>
      </c>
      <c r="G23" s="13" t="s">
        <v>521</v>
      </c>
      <c r="H23" s="13"/>
      <c r="I23" s="13" t="s">
        <v>673</v>
      </c>
      <c r="J23" s="13"/>
      <c r="K23" s="13"/>
      <c r="L23" s="13"/>
    </row>
    <row r="24" customFormat="false" ht="15" hidden="false" customHeight="false" outlineLevel="0" collapsed="false">
      <c r="A24" s="13" t="s">
        <v>181</v>
      </c>
      <c r="B24" s="13" t="s">
        <v>359</v>
      </c>
      <c r="C24" s="13" t="n">
        <v>3</v>
      </c>
      <c r="D24" s="13" t="s">
        <v>674</v>
      </c>
      <c r="E24" s="13" t="s">
        <v>628</v>
      </c>
      <c r="F24" s="13" t="s">
        <v>536</v>
      </c>
      <c r="G24" s="13" t="s">
        <v>342</v>
      </c>
      <c r="H24" s="13"/>
      <c r="I24" s="13" t="s">
        <v>667</v>
      </c>
      <c r="J24" s="13"/>
      <c r="K24" s="13"/>
      <c r="L24" s="13"/>
    </row>
    <row r="25" customFormat="false" ht="15" hidden="false" customHeight="false" outlineLevel="0" collapsed="false">
      <c r="A25" s="13" t="s">
        <v>181</v>
      </c>
      <c r="B25" s="13" t="s">
        <v>359</v>
      </c>
      <c r="C25" s="13" t="n">
        <v>4</v>
      </c>
      <c r="D25" s="13" t="s">
        <v>675</v>
      </c>
      <c r="E25" s="13" t="s">
        <v>629</v>
      </c>
      <c r="F25" s="13" t="s">
        <v>536</v>
      </c>
      <c r="G25" s="13" t="s">
        <v>342</v>
      </c>
      <c r="H25" s="13"/>
      <c r="I25" s="13" t="s">
        <v>676</v>
      </c>
      <c r="J25" s="13"/>
      <c r="K25" s="13"/>
      <c r="L25" s="13"/>
    </row>
    <row r="26" customFormat="false" ht="15" hidden="false" customHeight="false" outlineLevel="0" collapsed="false">
      <c r="A26" s="13" t="s">
        <v>181</v>
      </c>
      <c r="B26" s="13" t="s">
        <v>447</v>
      </c>
      <c r="C26" s="13" t="n">
        <v>1</v>
      </c>
      <c r="D26" s="13" t="s">
        <v>290</v>
      </c>
      <c r="E26" s="28" t="s">
        <v>651</v>
      </c>
      <c r="F26" s="13" t="s">
        <v>653</v>
      </c>
      <c r="G26" s="13" t="s">
        <v>290</v>
      </c>
      <c r="H26" s="13" t="s">
        <v>80</v>
      </c>
      <c r="I26" s="13"/>
      <c r="J26" s="13"/>
      <c r="K26" s="13"/>
      <c r="L26" s="13" t="s">
        <v>677</v>
      </c>
    </row>
    <row r="27" customFormat="false" ht="23.85" hidden="false" customHeight="false" outlineLevel="0" collapsed="false">
      <c r="A27" s="27" t="s">
        <v>181</v>
      </c>
      <c r="B27" s="27" t="s">
        <v>447</v>
      </c>
      <c r="C27" s="27" t="n">
        <v>2</v>
      </c>
      <c r="D27" s="27" t="s">
        <v>678</v>
      </c>
      <c r="E27" s="29" t="s">
        <v>651</v>
      </c>
      <c r="F27" s="27" t="s">
        <v>641</v>
      </c>
      <c r="G27" s="27" t="s">
        <v>307</v>
      </c>
      <c r="H27" s="27"/>
      <c r="I27" s="27" t="s">
        <v>290</v>
      </c>
      <c r="J27" s="27" t="s">
        <v>341</v>
      </c>
      <c r="K27" s="27"/>
      <c r="L27" s="27" t="s">
        <v>679</v>
      </c>
    </row>
    <row r="28" customFormat="false" ht="15" hidden="false" customHeight="false" outlineLevel="0" collapsed="false">
      <c r="A28" s="27" t="s">
        <v>181</v>
      </c>
      <c r="B28" s="27" t="s">
        <v>447</v>
      </c>
      <c r="C28" s="27" t="n">
        <v>3</v>
      </c>
      <c r="D28" s="27" t="s">
        <v>680</v>
      </c>
      <c r="E28" s="29" t="s">
        <v>651</v>
      </c>
      <c r="F28" s="27" t="s">
        <v>641</v>
      </c>
      <c r="G28" s="27" t="s">
        <v>311</v>
      </c>
      <c r="H28" s="27"/>
      <c r="I28" s="27" t="s">
        <v>307</v>
      </c>
      <c r="J28" s="27"/>
      <c r="K28" s="27"/>
      <c r="L28" s="27"/>
    </row>
    <row r="29" customFormat="false" ht="15" hidden="false" customHeight="false" outlineLevel="0" collapsed="false">
      <c r="A29" s="27" t="s">
        <v>181</v>
      </c>
      <c r="B29" s="27" t="s">
        <v>447</v>
      </c>
      <c r="C29" s="27" t="n">
        <v>3</v>
      </c>
      <c r="D29" s="27" t="s">
        <v>681</v>
      </c>
      <c r="E29" s="29" t="s">
        <v>651</v>
      </c>
      <c r="F29" s="27" t="s">
        <v>641</v>
      </c>
      <c r="G29" s="27" t="s">
        <v>308</v>
      </c>
      <c r="H29" s="27"/>
      <c r="I29" s="27" t="s">
        <v>307</v>
      </c>
      <c r="J29" s="27"/>
      <c r="K29" s="27"/>
      <c r="L29" s="27"/>
    </row>
    <row r="30" customFormat="false" ht="15" hidden="false" customHeight="false" outlineLevel="0" collapsed="false">
      <c r="A30" s="27" t="s">
        <v>181</v>
      </c>
      <c r="B30" s="27" t="s">
        <v>447</v>
      </c>
      <c r="C30" s="27" t="n">
        <v>3</v>
      </c>
      <c r="D30" s="27" t="s">
        <v>682</v>
      </c>
      <c r="E30" s="29" t="s">
        <v>651</v>
      </c>
      <c r="F30" s="27" t="s">
        <v>641</v>
      </c>
      <c r="G30" s="27" t="s">
        <v>321</v>
      </c>
      <c r="H30" s="27"/>
      <c r="I30" s="27" t="s">
        <v>307</v>
      </c>
      <c r="J30" s="27"/>
      <c r="K30" s="27"/>
      <c r="L30" s="27"/>
    </row>
    <row r="31" customFormat="false" ht="15" hidden="false" customHeight="false" outlineLevel="0" collapsed="false">
      <c r="A31" s="13" t="s">
        <v>181</v>
      </c>
      <c r="B31" s="13" t="s">
        <v>447</v>
      </c>
      <c r="C31" s="13" t="n">
        <v>1</v>
      </c>
      <c r="D31" s="13" t="s">
        <v>341</v>
      </c>
      <c r="E31" s="28" t="s">
        <v>651</v>
      </c>
      <c r="F31" s="13" t="s">
        <v>653</v>
      </c>
      <c r="G31" s="13" t="s">
        <v>341</v>
      </c>
      <c r="H31" s="13"/>
      <c r="I31" s="13"/>
      <c r="J31" s="13"/>
      <c r="K31" s="13"/>
      <c r="L31" s="13"/>
    </row>
    <row r="32" customFormat="false" ht="15" hidden="false" customHeight="false" outlineLevel="0" collapsed="false">
      <c r="A32" s="13" t="s">
        <v>276</v>
      </c>
      <c r="B32" s="13" t="s">
        <v>447</v>
      </c>
      <c r="C32" s="13" t="n">
        <v>1</v>
      </c>
      <c r="D32" s="13" t="s">
        <v>290</v>
      </c>
      <c r="E32" s="28" t="s">
        <v>651</v>
      </c>
      <c r="F32" s="13" t="s">
        <v>653</v>
      </c>
      <c r="G32" s="13" t="s">
        <v>290</v>
      </c>
      <c r="H32" s="13" t="s">
        <v>80</v>
      </c>
      <c r="I32" s="13"/>
      <c r="J32" s="13"/>
      <c r="K32" s="13"/>
      <c r="L32" s="13" t="s">
        <v>677</v>
      </c>
    </row>
    <row r="33" customFormat="false" ht="23.85" hidden="false" customHeight="false" outlineLevel="0" collapsed="false">
      <c r="A33" s="27" t="s">
        <v>276</v>
      </c>
      <c r="B33" s="27" t="s">
        <v>447</v>
      </c>
      <c r="C33" s="27" t="n">
        <v>2</v>
      </c>
      <c r="D33" s="27" t="s">
        <v>678</v>
      </c>
      <c r="E33" s="29" t="s">
        <v>651</v>
      </c>
      <c r="F33" s="27" t="s">
        <v>641</v>
      </c>
      <c r="G33" s="27" t="s">
        <v>307</v>
      </c>
      <c r="H33" s="27"/>
      <c r="I33" s="27" t="s">
        <v>290</v>
      </c>
      <c r="J33" s="27" t="s">
        <v>341</v>
      </c>
      <c r="K33" s="27"/>
      <c r="L33" s="27" t="s">
        <v>679</v>
      </c>
    </row>
    <row r="34" customFormat="false" ht="15" hidden="false" customHeight="false" outlineLevel="0" collapsed="false">
      <c r="A34" s="27" t="s">
        <v>276</v>
      </c>
      <c r="B34" s="27" t="s">
        <v>447</v>
      </c>
      <c r="C34" s="27" t="n">
        <v>3</v>
      </c>
      <c r="D34" s="27" t="s">
        <v>680</v>
      </c>
      <c r="E34" s="29" t="s">
        <v>651</v>
      </c>
      <c r="F34" s="27" t="s">
        <v>641</v>
      </c>
      <c r="G34" s="27" t="s">
        <v>311</v>
      </c>
      <c r="H34" s="27"/>
      <c r="I34" s="27" t="s">
        <v>307</v>
      </c>
      <c r="J34" s="27"/>
      <c r="K34" s="27"/>
      <c r="L34" s="27"/>
    </row>
    <row r="35" customFormat="false" ht="15" hidden="false" customHeight="false" outlineLevel="0" collapsed="false">
      <c r="A35" s="27" t="s">
        <v>276</v>
      </c>
      <c r="B35" s="27" t="s">
        <v>447</v>
      </c>
      <c r="C35" s="27" t="n">
        <v>3</v>
      </c>
      <c r="D35" s="27" t="s">
        <v>681</v>
      </c>
      <c r="E35" s="29" t="s">
        <v>651</v>
      </c>
      <c r="F35" s="27" t="s">
        <v>641</v>
      </c>
      <c r="G35" s="27" t="s">
        <v>308</v>
      </c>
      <c r="H35" s="27"/>
      <c r="I35" s="27" t="s">
        <v>307</v>
      </c>
      <c r="J35" s="27"/>
      <c r="K35" s="27"/>
      <c r="L35" s="27"/>
    </row>
    <row r="36" customFormat="false" ht="15" hidden="false" customHeight="false" outlineLevel="0" collapsed="false">
      <c r="A36" s="27" t="s">
        <v>276</v>
      </c>
      <c r="B36" s="27" t="s">
        <v>447</v>
      </c>
      <c r="C36" s="27" t="n">
        <v>3</v>
      </c>
      <c r="D36" s="27" t="s">
        <v>682</v>
      </c>
      <c r="E36" s="29" t="s">
        <v>651</v>
      </c>
      <c r="F36" s="27" t="s">
        <v>641</v>
      </c>
      <c r="G36" s="27" t="s">
        <v>321</v>
      </c>
      <c r="H36" s="27"/>
      <c r="I36" s="27" t="s">
        <v>307</v>
      </c>
      <c r="J36" s="27"/>
      <c r="K36" s="27"/>
      <c r="L36" s="27"/>
    </row>
    <row r="37" customFormat="false" ht="15" hidden="false" customHeight="false" outlineLevel="0" collapsed="false">
      <c r="A37" s="13" t="s">
        <v>276</v>
      </c>
      <c r="B37" s="13" t="s">
        <v>447</v>
      </c>
      <c r="C37" s="13" t="n">
        <v>1</v>
      </c>
      <c r="D37" s="13" t="s">
        <v>341</v>
      </c>
      <c r="E37" s="28" t="s">
        <v>651</v>
      </c>
      <c r="F37" s="13" t="s">
        <v>653</v>
      </c>
      <c r="G37" s="13" t="s">
        <v>341</v>
      </c>
      <c r="H37" s="13"/>
      <c r="I37" s="13"/>
      <c r="J37" s="13"/>
      <c r="K37" s="13"/>
      <c r="L37" s="13"/>
    </row>
    <row r="38" customFormat="false" ht="15" hidden="false" customHeight="false" outlineLevel="0" collapsed="false">
      <c r="A38" s="13" t="s">
        <v>277</v>
      </c>
      <c r="B38" s="13" t="s">
        <v>447</v>
      </c>
      <c r="C38" s="13" t="n">
        <v>1</v>
      </c>
      <c r="D38" s="13" t="s">
        <v>290</v>
      </c>
      <c r="E38" s="28" t="s">
        <v>651</v>
      </c>
      <c r="F38" s="13" t="s">
        <v>653</v>
      </c>
      <c r="G38" s="13" t="s">
        <v>290</v>
      </c>
      <c r="H38" s="13" t="s">
        <v>80</v>
      </c>
      <c r="I38" s="13"/>
      <c r="J38" s="13"/>
      <c r="K38" s="13"/>
      <c r="L38" s="13" t="s">
        <v>677</v>
      </c>
    </row>
    <row r="39" customFormat="false" ht="23.85" hidden="false" customHeight="false" outlineLevel="0" collapsed="false">
      <c r="A39" s="27" t="s">
        <v>277</v>
      </c>
      <c r="B39" s="27" t="s">
        <v>447</v>
      </c>
      <c r="C39" s="27" t="n">
        <v>2</v>
      </c>
      <c r="D39" s="27" t="s">
        <v>678</v>
      </c>
      <c r="E39" s="29" t="s">
        <v>651</v>
      </c>
      <c r="F39" s="27" t="s">
        <v>641</v>
      </c>
      <c r="G39" s="27" t="s">
        <v>307</v>
      </c>
      <c r="H39" s="27"/>
      <c r="I39" s="27" t="s">
        <v>290</v>
      </c>
      <c r="J39" s="27" t="s">
        <v>341</v>
      </c>
      <c r="K39" s="27"/>
      <c r="L39" s="27" t="s">
        <v>679</v>
      </c>
    </row>
    <row r="40" customFormat="false" ht="15" hidden="false" customHeight="false" outlineLevel="0" collapsed="false">
      <c r="A40" s="27" t="s">
        <v>277</v>
      </c>
      <c r="B40" s="27" t="s">
        <v>447</v>
      </c>
      <c r="C40" s="27" t="n">
        <v>3</v>
      </c>
      <c r="D40" s="27" t="s">
        <v>680</v>
      </c>
      <c r="E40" s="29" t="s">
        <v>651</v>
      </c>
      <c r="F40" s="27" t="s">
        <v>641</v>
      </c>
      <c r="G40" s="27" t="s">
        <v>311</v>
      </c>
      <c r="H40" s="27"/>
      <c r="I40" s="27" t="s">
        <v>307</v>
      </c>
      <c r="J40" s="27"/>
      <c r="K40" s="27"/>
      <c r="L40" s="27"/>
    </row>
    <row r="41" customFormat="false" ht="15" hidden="false" customHeight="false" outlineLevel="0" collapsed="false">
      <c r="A41" s="27" t="s">
        <v>277</v>
      </c>
      <c r="B41" s="27" t="s">
        <v>447</v>
      </c>
      <c r="C41" s="27" t="n">
        <v>3</v>
      </c>
      <c r="D41" s="27" t="s">
        <v>681</v>
      </c>
      <c r="E41" s="29" t="s">
        <v>651</v>
      </c>
      <c r="F41" s="27" t="s">
        <v>641</v>
      </c>
      <c r="G41" s="27" t="s">
        <v>308</v>
      </c>
      <c r="H41" s="27"/>
      <c r="I41" s="27" t="s">
        <v>307</v>
      </c>
      <c r="J41" s="27"/>
      <c r="K41" s="27"/>
      <c r="L41" s="27"/>
    </row>
    <row r="42" customFormat="false" ht="15" hidden="false" customHeight="false" outlineLevel="0" collapsed="false">
      <c r="A42" s="27" t="s">
        <v>277</v>
      </c>
      <c r="B42" s="27" t="s">
        <v>447</v>
      </c>
      <c r="C42" s="27" t="n">
        <v>3</v>
      </c>
      <c r="D42" s="27" t="s">
        <v>682</v>
      </c>
      <c r="E42" s="29" t="s">
        <v>651</v>
      </c>
      <c r="F42" s="27" t="s">
        <v>641</v>
      </c>
      <c r="G42" s="27" t="s">
        <v>321</v>
      </c>
      <c r="H42" s="27"/>
      <c r="I42" s="27" t="s">
        <v>307</v>
      </c>
      <c r="J42" s="27"/>
      <c r="K42" s="27"/>
      <c r="L42" s="27"/>
    </row>
    <row r="43" customFormat="false" ht="15" hidden="false" customHeight="false" outlineLevel="0" collapsed="false">
      <c r="A43" s="13" t="s">
        <v>277</v>
      </c>
      <c r="B43" s="13" t="s">
        <v>447</v>
      </c>
      <c r="C43" s="13" t="n">
        <v>1</v>
      </c>
      <c r="D43" s="13" t="s">
        <v>341</v>
      </c>
      <c r="E43" s="28" t="s">
        <v>651</v>
      </c>
      <c r="F43" s="13" t="s">
        <v>653</v>
      </c>
      <c r="G43" s="13" t="s">
        <v>341</v>
      </c>
      <c r="H43" s="13"/>
      <c r="I43" s="13"/>
      <c r="J43" s="13"/>
      <c r="K43" s="13"/>
      <c r="L43" s="13"/>
    </row>
    <row r="44" customFormat="false" ht="15" hidden="false" customHeight="false" outlineLevel="0" collapsed="false">
      <c r="A44" s="13" t="s">
        <v>278</v>
      </c>
      <c r="B44" s="13" t="s">
        <v>447</v>
      </c>
      <c r="C44" s="13" t="n">
        <v>1</v>
      </c>
      <c r="D44" s="13" t="s">
        <v>290</v>
      </c>
      <c r="E44" s="28" t="s">
        <v>651</v>
      </c>
      <c r="F44" s="13" t="s">
        <v>653</v>
      </c>
      <c r="G44" s="13" t="s">
        <v>290</v>
      </c>
      <c r="H44" s="13" t="s">
        <v>80</v>
      </c>
      <c r="I44" s="13"/>
      <c r="J44" s="13"/>
      <c r="K44" s="13"/>
      <c r="L44" s="13" t="s">
        <v>677</v>
      </c>
    </row>
    <row r="45" customFormat="false" ht="23.85" hidden="false" customHeight="false" outlineLevel="0" collapsed="false">
      <c r="A45" s="27" t="s">
        <v>278</v>
      </c>
      <c r="B45" s="27" t="s">
        <v>447</v>
      </c>
      <c r="C45" s="27" t="n">
        <v>2</v>
      </c>
      <c r="D45" s="27" t="s">
        <v>678</v>
      </c>
      <c r="E45" s="29" t="s">
        <v>651</v>
      </c>
      <c r="F45" s="27" t="s">
        <v>641</v>
      </c>
      <c r="G45" s="27" t="s">
        <v>307</v>
      </c>
      <c r="H45" s="27"/>
      <c r="I45" s="27" t="s">
        <v>290</v>
      </c>
      <c r="J45" s="27" t="s">
        <v>341</v>
      </c>
      <c r="K45" s="27"/>
      <c r="L45" s="27" t="s">
        <v>679</v>
      </c>
    </row>
    <row r="46" customFormat="false" ht="15" hidden="false" customHeight="false" outlineLevel="0" collapsed="false">
      <c r="A46" s="27" t="s">
        <v>278</v>
      </c>
      <c r="B46" s="27" t="s">
        <v>447</v>
      </c>
      <c r="C46" s="27" t="n">
        <v>3</v>
      </c>
      <c r="D46" s="27" t="s">
        <v>680</v>
      </c>
      <c r="E46" s="29" t="s">
        <v>651</v>
      </c>
      <c r="F46" s="27" t="s">
        <v>641</v>
      </c>
      <c r="G46" s="27" t="s">
        <v>311</v>
      </c>
      <c r="H46" s="27"/>
      <c r="I46" s="27" t="s">
        <v>307</v>
      </c>
      <c r="J46" s="27"/>
      <c r="K46" s="27"/>
      <c r="L46" s="27"/>
    </row>
    <row r="47" customFormat="false" ht="15" hidden="false" customHeight="false" outlineLevel="0" collapsed="false">
      <c r="A47" s="27" t="s">
        <v>278</v>
      </c>
      <c r="B47" s="27" t="s">
        <v>447</v>
      </c>
      <c r="C47" s="27" t="n">
        <v>3</v>
      </c>
      <c r="D47" s="27" t="s">
        <v>681</v>
      </c>
      <c r="E47" s="29" t="s">
        <v>651</v>
      </c>
      <c r="F47" s="27" t="s">
        <v>641</v>
      </c>
      <c r="G47" s="27" t="s">
        <v>308</v>
      </c>
      <c r="H47" s="27"/>
      <c r="I47" s="27" t="s">
        <v>307</v>
      </c>
      <c r="J47" s="27"/>
      <c r="K47" s="27"/>
      <c r="L47" s="27"/>
    </row>
    <row r="48" customFormat="false" ht="15" hidden="false" customHeight="false" outlineLevel="0" collapsed="false">
      <c r="A48" s="27" t="s">
        <v>278</v>
      </c>
      <c r="B48" s="27" t="s">
        <v>447</v>
      </c>
      <c r="C48" s="27" t="n">
        <v>3</v>
      </c>
      <c r="D48" s="27" t="s">
        <v>682</v>
      </c>
      <c r="E48" s="29" t="s">
        <v>651</v>
      </c>
      <c r="F48" s="27" t="s">
        <v>641</v>
      </c>
      <c r="G48" s="27" t="s">
        <v>321</v>
      </c>
      <c r="H48" s="27"/>
      <c r="I48" s="27" t="s">
        <v>307</v>
      </c>
      <c r="J48" s="27"/>
      <c r="K48" s="27"/>
      <c r="L48" s="27"/>
    </row>
    <row r="49" customFormat="false" ht="15" hidden="false" customHeight="false" outlineLevel="0" collapsed="false">
      <c r="A49" s="13" t="s">
        <v>278</v>
      </c>
      <c r="B49" s="13" t="s">
        <v>447</v>
      </c>
      <c r="C49" s="13" t="n">
        <v>1</v>
      </c>
      <c r="D49" s="13" t="s">
        <v>341</v>
      </c>
      <c r="E49" s="28" t="s">
        <v>651</v>
      </c>
      <c r="F49" s="13" t="s">
        <v>653</v>
      </c>
      <c r="G49" s="13" t="s">
        <v>341</v>
      </c>
      <c r="H49" s="13"/>
      <c r="I49" s="13"/>
      <c r="J49" s="13"/>
      <c r="K49" s="13"/>
      <c r="L49" s="13"/>
    </row>
    <row r="50" customFormat="false" ht="15" hidden="false" customHeight="false" outlineLevel="0" collapsed="false">
      <c r="A50" s="13" t="s">
        <v>279</v>
      </c>
      <c r="B50" s="13" t="s">
        <v>447</v>
      </c>
      <c r="C50" s="13" t="n">
        <v>1</v>
      </c>
      <c r="D50" s="13" t="s">
        <v>290</v>
      </c>
      <c r="E50" s="28" t="s">
        <v>651</v>
      </c>
      <c r="F50" s="13" t="s">
        <v>653</v>
      </c>
      <c r="G50" s="13" t="s">
        <v>290</v>
      </c>
      <c r="H50" s="13" t="s">
        <v>80</v>
      </c>
      <c r="I50" s="13"/>
      <c r="J50" s="13"/>
      <c r="K50" s="13"/>
      <c r="L50" s="13" t="s">
        <v>677</v>
      </c>
    </row>
    <row r="51" customFormat="false" ht="23.85" hidden="false" customHeight="false" outlineLevel="0" collapsed="false">
      <c r="A51" s="27" t="s">
        <v>279</v>
      </c>
      <c r="B51" s="27" t="s">
        <v>447</v>
      </c>
      <c r="C51" s="27" t="n">
        <v>2</v>
      </c>
      <c r="D51" s="27" t="s">
        <v>678</v>
      </c>
      <c r="E51" s="29" t="s">
        <v>651</v>
      </c>
      <c r="F51" s="27" t="s">
        <v>641</v>
      </c>
      <c r="G51" s="27" t="s">
        <v>307</v>
      </c>
      <c r="H51" s="27"/>
      <c r="I51" s="27" t="s">
        <v>290</v>
      </c>
      <c r="J51" s="27" t="s">
        <v>341</v>
      </c>
      <c r="K51" s="27"/>
      <c r="L51" s="27" t="s">
        <v>679</v>
      </c>
    </row>
    <row r="52" customFormat="false" ht="15" hidden="false" customHeight="false" outlineLevel="0" collapsed="false">
      <c r="A52" s="27" t="s">
        <v>279</v>
      </c>
      <c r="B52" s="27" t="s">
        <v>447</v>
      </c>
      <c r="C52" s="27" t="n">
        <v>3</v>
      </c>
      <c r="D52" s="27" t="s">
        <v>680</v>
      </c>
      <c r="E52" s="29" t="s">
        <v>651</v>
      </c>
      <c r="F52" s="27" t="s">
        <v>641</v>
      </c>
      <c r="G52" s="27" t="s">
        <v>311</v>
      </c>
      <c r="H52" s="27"/>
      <c r="I52" s="27" t="s">
        <v>307</v>
      </c>
      <c r="J52" s="27"/>
      <c r="K52" s="27"/>
      <c r="L52" s="27"/>
    </row>
    <row r="53" customFormat="false" ht="15" hidden="false" customHeight="false" outlineLevel="0" collapsed="false">
      <c r="A53" s="27" t="s">
        <v>279</v>
      </c>
      <c r="B53" s="27" t="s">
        <v>447</v>
      </c>
      <c r="C53" s="27" t="n">
        <v>3</v>
      </c>
      <c r="D53" s="27" t="s">
        <v>681</v>
      </c>
      <c r="E53" s="29" t="s">
        <v>651</v>
      </c>
      <c r="F53" s="27" t="s">
        <v>641</v>
      </c>
      <c r="G53" s="27" t="s">
        <v>308</v>
      </c>
      <c r="H53" s="27"/>
      <c r="I53" s="27" t="s">
        <v>307</v>
      </c>
      <c r="J53" s="27"/>
      <c r="K53" s="27"/>
      <c r="L53" s="27"/>
    </row>
    <row r="54" customFormat="false" ht="15" hidden="false" customHeight="false" outlineLevel="0" collapsed="false">
      <c r="A54" s="27" t="s">
        <v>279</v>
      </c>
      <c r="B54" s="27" t="s">
        <v>447</v>
      </c>
      <c r="C54" s="27" t="n">
        <v>3</v>
      </c>
      <c r="D54" s="27" t="s">
        <v>682</v>
      </c>
      <c r="E54" s="29" t="s">
        <v>651</v>
      </c>
      <c r="F54" s="27" t="s">
        <v>641</v>
      </c>
      <c r="G54" s="27" t="s">
        <v>321</v>
      </c>
      <c r="H54" s="27"/>
      <c r="I54" s="27" t="s">
        <v>307</v>
      </c>
      <c r="J54" s="27"/>
      <c r="K54" s="27"/>
      <c r="L54" s="27"/>
    </row>
    <row r="55" customFormat="false" ht="15" hidden="false" customHeight="false" outlineLevel="0" collapsed="false">
      <c r="A55" s="13" t="s">
        <v>279</v>
      </c>
      <c r="B55" s="13" t="s">
        <v>447</v>
      </c>
      <c r="C55" s="13" t="n">
        <v>1</v>
      </c>
      <c r="D55" s="13" t="s">
        <v>341</v>
      </c>
      <c r="E55" s="28" t="s">
        <v>651</v>
      </c>
      <c r="F55" s="13" t="s">
        <v>653</v>
      </c>
      <c r="G55" s="13" t="s">
        <v>341</v>
      </c>
      <c r="H55" s="13"/>
      <c r="I55" s="13"/>
      <c r="J55" s="13"/>
      <c r="K55" s="13"/>
      <c r="L55" s="13"/>
    </row>
    <row r="56" customFormat="false" ht="15" hidden="false" customHeight="false" outlineLevel="0" collapsed="false">
      <c r="A56" s="13" t="s">
        <v>280</v>
      </c>
      <c r="B56" s="13" t="s">
        <v>447</v>
      </c>
      <c r="C56" s="13" t="n">
        <v>1</v>
      </c>
      <c r="D56" s="13" t="s">
        <v>290</v>
      </c>
      <c r="E56" s="28" t="s">
        <v>651</v>
      </c>
      <c r="F56" s="13" t="s">
        <v>653</v>
      </c>
      <c r="G56" s="13" t="s">
        <v>290</v>
      </c>
      <c r="H56" s="13" t="s">
        <v>80</v>
      </c>
      <c r="I56" s="13"/>
      <c r="J56" s="13"/>
      <c r="K56" s="13"/>
      <c r="L56" s="13" t="s">
        <v>677</v>
      </c>
    </row>
    <row r="57" customFormat="false" ht="23.85" hidden="false" customHeight="false" outlineLevel="0" collapsed="false">
      <c r="A57" s="27" t="s">
        <v>280</v>
      </c>
      <c r="B57" s="27" t="s">
        <v>447</v>
      </c>
      <c r="C57" s="27" t="n">
        <v>2</v>
      </c>
      <c r="D57" s="27" t="s">
        <v>678</v>
      </c>
      <c r="E57" s="29" t="s">
        <v>651</v>
      </c>
      <c r="F57" s="27" t="s">
        <v>641</v>
      </c>
      <c r="G57" s="27" t="s">
        <v>307</v>
      </c>
      <c r="H57" s="27"/>
      <c r="I57" s="27" t="s">
        <v>290</v>
      </c>
      <c r="J57" s="27" t="s">
        <v>341</v>
      </c>
      <c r="K57" s="27"/>
      <c r="L57" s="27" t="s">
        <v>679</v>
      </c>
    </row>
    <row r="58" customFormat="false" ht="15" hidden="false" customHeight="false" outlineLevel="0" collapsed="false">
      <c r="A58" s="27" t="s">
        <v>280</v>
      </c>
      <c r="B58" s="27" t="s">
        <v>447</v>
      </c>
      <c r="C58" s="27" t="n">
        <v>3</v>
      </c>
      <c r="D58" s="27" t="s">
        <v>680</v>
      </c>
      <c r="E58" s="29" t="s">
        <v>651</v>
      </c>
      <c r="F58" s="27" t="s">
        <v>641</v>
      </c>
      <c r="G58" s="27" t="s">
        <v>311</v>
      </c>
      <c r="H58" s="27"/>
      <c r="I58" s="27" t="s">
        <v>307</v>
      </c>
      <c r="J58" s="27"/>
      <c r="K58" s="27"/>
      <c r="L58" s="27"/>
    </row>
    <row r="59" customFormat="false" ht="15" hidden="false" customHeight="false" outlineLevel="0" collapsed="false">
      <c r="A59" s="27" t="s">
        <v>280</v>
      </c>
      <c r="B59" s="27" t="s">
        <v>447</v>
      </c>
      <c r="C59" s="27" t="n">
        <v>3</v>
      </c>
      <c r="D59" s="27" t="s">
        <v>681</v>
      </c>
      <c r="E59" s="29" t="s">
        <v>651</v>
      </c>
      <c r="F59" s="27" t="s">
        <v>641</v>
      </c>
      <c r="G59" s="27" t="s">
        <v>308</v>
      </c>
      <c r="H59" s="27"/>
      <c r="I59" s="27" t="s">
        <v>307</v>
      </c>
      <c r="J59" s="27"/>
      <c r="K59" s="27"/>
      <c r="L59" s="27"/>
    </row>
    <row r="60" customFormat="false" ht="15" hidden="false" customHeight="false" outlineLevel="0" collapsed="false">
      <c r="A60" s="27" t="s">
        <v>280</v>
      </c>
      <c r="B60" s="27" t="s">
        <v>447</v>
      </c>
      <c r="C60" s="27" t="n">
        <v>3</v>
      </c>
      <c r="D60" s="27" t="s">
        <v>682</v>
      </c>
      <c r="E60" s="29" t="s">
        <v>651</v>
      </c>
      <c r="F60" s="27" t="s">
        <v>641</v>
      </c>
      <c r="G60" s="27" t="s">
        <v>321</v>
      </c>
      <c r="H60" s="27"/>
      <c r="I60" s="27" t="s">
        <v>307</v>
      </c>
      <c r="J60" s="27"/>
      <c r="K60" s="27"/>
      <c r="L60" s="27"/>
    </row>
    <row r="61" customFormat="false" ht="15" hidden="false" customHeight="false" outlineLevel="0" collapsed="false">
      <c r="A61" s="13" t="s">
        <v>280</v>
      </c>
      <c r="B61" s="13" t="s">
        <v>447</v>
      </c>
      <c r="C61" s="13" t="n">
        <v>1</v>
      </c>
      <c r="D61" s="13" t="s">
        <v>341</v>
      </c>
      <c r="E61" s="28" t="s">
        <v>651</v>
      </c>
      <c r="F61" s="13" t="s">
        <v>653</v>
      </c>
      <c r="G61" s="13" t="s">
        <v>341</v>
      </c>
      <c r="H61" s="13"/>
      <c r="I61" s="13"/>
      <c r="J61" s="13"/>
      <c r="K61" s="13"/>
      <c r="L61" s="13"/>
    </row>
  </sheetData>
  <autoFilter ref="A1:L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8C9EB"/>
    <pageSetUpPr fitToPage="tru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5" min="5" style="0" width="22"/>
    <col collapsed="false" customWidth="true" hidden="false" outlineLevel="0" max="6" min="6" style="0" width="26"/>
    <col collapsed="false" customWidth="true" hidden="false" outlineLevel="0" max="7" min="7" style="0" width="12"/>
    <col collapsed="false" customWidth="true" hidden="false" outlineLevel="0" max="8" min="8" style="0" width="50"/>
    <col collapsed="false" customWidth="true" hidden="false" outlineLevel="0" max="9" min="9" style="0" width="30"/>
  </cols>
  <sheetData>
    <row r="1" customFormat="false" ht="23.85" hidden="false" customHeight="false" outlineLevel="0" collapsed="false">
      <c r="A1" s="9" t="s">
        <v>683</v>
      </c>
      <c r="B1" s="9" t="s">
        <v>353</v>
      </c>
      <c r="C1" s="9" t="s">
        <v>684</v>
      </c>
      <c r="D1" s="9" t="s">
        <v>685</v>
      </c>
      <c r="E1" s="9" t="s">
        <v>686</v>
      </c>
      <c r="F1" s="9" t="s">
        <v>687</v>
      </c>
      <c r="G1" s="9" t="s">
        <v>688</v>
      </c>
      <c r="H1" s="9" t="s">
        <v>689</v>
      </c>
      <c r="I1" s="9" t="s">
        <v>15</v>
      </c>
    </row>
    <row r="2" customFormat="false" ht="15" hidden="false" customHeight="false" outlineLevel="0" collapsed="false">
      <c r="A2" s="13" t="s">
        <v>80</v>
      </c>
      <c r="B2" s="13" t="s">
        <v>548</v>
      </c>
      <c r="C2" s="13" t="s">
        <v>404</v>
      </c>
      <c r="D2" s="13" t="s">
        <v>690</v>
      </c>
      <c r="E2" s="13"/>
      <c r="F2" s="13"/>
      <c r="G2" s="13"/>
      <c r="H2" s="13" t="s">
        <v>691</v>
      </c>
      <c r="I2" s="13"/>
    </row>
    <row r="3" customFormat="false" ht="23.85" hidden="false" customHeight="false" outlineLevel="0" collapsed="false">
      <c r="A3" s="13" t="s">
        <v>181</v>
      </c>
      <c r="B3" s="13" t="s">
        <v>692</v>
      </c>
      <c r="C3" s="13" t="s">
        <v>404</v>
      </c>
      <c r="D3" s="13" t="s">
        <v>693</v>
      </c>
      <c r="E3" s="13"/>
      <c r="F3" s="13"/>
      <c r="G3" s="13"/>
      <c r="H3" s="13" t="s">
        <v>694</v>
      </c>
      <c r="I3" s="13"/>
    </row>
    <row r="4" customFormat="false" ht="23.85" hidden="false" customHeight="false" outlineLevel="0" collapsed="false">
      <c r="A4" s="13" t="s">
        <v>276</v>
      </c>
      <c r="B4" s="13" t="s">
        <v>695</v>
      </c>
      <c r="C4" s="13" t="s">
        <v>404</v>
      </c>
      <c r="D4" s="13" t="s">
        <v>696</v>
      </c>
      <c r="E4" s="13"/>
      <c r="F4" s="13"/>
      <c r="G4" s="13"/>
      <c r="H4" s="13" t="s">
        <v>697</v>
      </c>
      <c r="I4" s="13"/>
    </row>
    <row r="5" customFormat="false" ht="23.85" hidden="false" customHeight="false" outlineLevel="0" collapsed="false">
      <c r="A5" s="13" t="s">
        <v>277</v>
      </c>
      <c r="B5" s="13" t="s">
        <v>695</v>
      </c>
      <c r="C5" s="13" t="s">
        <v>404</v>
      </c>
      <c r="D5" s="13" t="s">
        <v>696</v>
      </c>
      <c r="E5" s="13"/>
      <c r="F5" s="13"/>
      <c r="G5" s="13"/>
      <c r="H5" s="13" t="s">
        <v>698</v>
      </c>
      <c r="I5" s="13"/>
    </row>
    <row r="6" customFormat="false" ht="23.85" hidden="false" customHeight="false" outlineLevel="0" collapsed="false">
      <c r="A6" s="13" t="s">
        <v>278</v>
      </c>
      <c r="B6" s="13" t="s">
        <v>699</v>
      </c>
      <c r="C6" s="13" t="s">
        <v>404</v>
      </c>
      <c r="D6" s="13" t="s">
        <v>700</v>
      </c>
      <c r="E6" s="13"/>
      <c r="F6" s="13"/>
      <c r="G6" s="13"/>
      <c r="H6" s="13" t="s">
        <v>701</v>
      </c>
      <c r="I6" s="13"/>
    </row>
    <row r="7" customFormat="false" ht="15" hidden="false" customHeight="false" outlineLevel="0" collapsed="false">
      <c r="A7" s="13" t="s">
        <v>279</v>
      </c>
      <c r="B7" s="13" t="s">
        <v>699</v>
      </c>
      <c r="C7" s="13" t="s">
        <v>404</v>
      </c>
      <c r="D7" s="13" t="s">
        <v>700</v>
      </c>
      <c r="E7" s="13"/>
      <c r="F7" s="13"/>
      <c r="G7" s="13"/>
      <c r="H7" s="13" t="s">
        <v>702</v>
      </c>
      <c r="I7" s="13"/>
    </row>
    <row r="8" customFormat="false" ht="23.85" hidden="false" customHeight="false" outlineLevel="0" collapsed="false">
      <c r="A8" s="13" t="s">
        <v>280</v>
      </c>
      <c r="B8" s="13" t="s">
        <v>703</v>
      </c>
      <c r="C8" s="13" t="s">
        <v>704</v>
      </c>
      <c r="D8" s="13" t="s">
        <v>705</v>
      </c>
      <c r="E8" s="13"/>
      <c r="F8" s="13"/>
      <c r="G8" s="13"/>
      <c r="H8" s="13" t="s">
        <v>706</v>
      </c>
      <c r="I8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8C9EB"/>
    <pageSetUpPr fitToPage="tru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60"/>
    <col collapsed="false" customWidth="true" hidden="false" outlineLevel="0" max="4" min="3" style="0" width="32"/>
    <col collapsed="false" customWidth="true" hidden="false" outlineLevel="0" max="5" min="5" style="0" width="13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9" t="s">
        <v>707</v>
      </c>
      <c r="B1" s="9" t="s">
        <v>708</v>
      </c>
      <c r="C1" s="9" t="s">
        <v>709</v>
      </c>
      <c r="D1" s="9" t="s">
        <v>355</v>
      </c>
      <c r="E1" s="9" t="s">
        <v>710</v>
      </c>
      <c r="F1" s="9" t="s">
        <v>15</v>
      </c>
    </row>
    <row r="2" customFormat="false" ht="23.85" hidden="false" customHeight="false" outlineLevel="0" collapsed="false">
      <c r="A2" s="13" t="s">
        <v>711</v>
      </c>
      <c r="B2" s="13" t="s">
        <v>712</v>
      </c>
      <c r="C2" s="13" t="s">
        <v>713</v>
      </c>
      <c r="D2" s="13" t="s">
        <v>302</v>
      </c>
      <c r="E2" s="13" t="s">
        <v>77</v>
      </c>
      <c r="F2" s="13"/>
    </row>
    <row r="3" customFormat="false" ht="23.85" hidden="false" customHeight="false" outlineLevel="0" collapsed="false">
      <c r="A3" s="13" t="s">
        <v>714</v>
      </c>
      <c r="B3" s="13" t="s">
        <v>715</v>
      </c>
      <c r="C3" s="13" t="s">
        <v>716</v>
      </c>
      <c r="D3" s="13" t="s">
        <v>291</v>
      </c>
      <c r="E3" s="13" t="s">
        <v>77</v>
      </c>
      <c r="F3" s="13"/>
    </row>
    <row r="4" customFormat="false" ht="15" hidden="false" customHeight="false" outlineLevel="0" collapsed="false">
      <c r="A4" s="13" t="s">
        <v>717</v>
      </c>
      <c r="B4" s="13" t="s">
        <v>718</v>
      </c>
      <c r="C4" s="13" t="s">
        <v>719</v>
      </c>
      <c r="D4" s="13" t="s">
        <v>296</v>
      </c>
      <c r="E4" s="13" t="s">
        <v>77</v>
      </c>
      <c r="F4" s="13"/>
    </row>
    <row r="5" customFormat="false" ht="15" hidden="false" customHeight="false" outlineLevel="0" collapsed="false">
      <c r="A5" s="13" t="s">
        <v>720</v>
      </c>
      <c r="B5" s="13" t="s">
        <v>721</v>
      </c>
      <c r="C5" s="13" t="s">
        <v>722</v>
      </c>
      <c r="D5" s="13" t="s">
        <v>290</v>
      </c>
      <c r="E5" s="13" t="s">
        <v>77</v>
      </c>
      <c r="F5" s="13"/>
    </row>
    <row r="6" customFormat="false" ht="23.85" hidden="false" customHeight="false" outlineLevel="0" collapsed="false">
      <c r="A6" s="13" t="s">
        <v>723</v>
      </c>
      <c r="B6" s="13" t="s">
        <v>724</v>
      </c>
      <c r="C6" s="13"/>
      <c r="D6" s="13" t="s">
        <v>290</v>
      </c>
      <c r="E6" s="13" t="s">
        <v>77</v>
      </c>
      <c r="F6" s="13"/>
    </row>
    <row r="7" customFormat="false" ht="15" hidden="false" customHeight="false" outlineLevel="0" collapsed="false">
      <c r="A7" s="13" t="s">
        <v>725</v>
      </c>
      <c r="B7" s="13" t="s">
        <v>726</v>
      </c>
      <c r="C7" s="13" t="s">
        <v>727</v>
      </c>
      <c r="D7" s="13" t="s">
        <v>296</v>
      </c>
      <c r="E7" s="13" t="s">
        <v>77</v>
      </c>
      <c r="F7" s="13"/>
    </row>
    <row r="8" customFormat="false" ht="15" hidden="false" customHeight="false" outlineLevel="0" collapsed="false">
      <c r="A8" s="13" t="s">
        <v>728</v>
      </c>
      <c r="B8" s="13" t="s">
        <v>729</v>
      </c>
      <c r="C8" s="13" t="s">
        <v>730</v>
      </c>
      <c r="D8" s="13" t="s">
        <v>291</v>
      </c>
      <c r="E8" s="13" t="s">
        <v>77</v>
      </c>
      <c r="F8" s="13"/>
    </row>
    <row r="9" customFormat="false" ht="15" hidden="false" customHeight="false" outlineLevel="0" collapsed="false">
      <c r="A9" s="13" t="s">
        <v>731</v>
      </c>
      <c r="B9" s="13" t="s">
        <v>732</v>
      </c>
      <c r="C9" s="13" t="s">
        <v>733</v>
      </c>
      <c r="D9" s="13" t="s">
        <v>290</v>
      </c>
      <c r="E9" s="13" t="s">
        <v>77</v>
      </c>
      <c r="F9" s="13"/>
    </row>
    <row r="10" customFormat="false" ht="23.85" hidden="false" customHeight="false" outlineLevel="0" collapsed="false">
      <c r="A10" s="13" t="s">
        <v>734</v>
      </c>
      <c r="B10" s="13" t="s">
        <v>735</v>
      </c>
      <c r="C10" s="13" t="s">
        <v>736</v>
      </c>
      <c r="D10" s="13" t="s">
        <v>291</v>
      </c>
      <c r="E10" s="13" t="s">
        <v>77</v>
      </c>
      <c r="F10" s="13"/>
    </row>
    <row r="11" customFormat="false" ht="15" hidden="false" customHeight="false" outlineLevel="0" collapsed="false">
      <c r="A11" s="13" t="s">
        <v>737</v>
      </c>
      <c r="B11" s="13" t="s">
        <v>738</v>
      </c>
      <c r="C11" s="13"/>
      <c r="D11" s="13" t="s">
        <v>302</v>
      </c>
      <c r="E11" s="13" t="s">
        <v>77</v>
      </c>
      <c r="F11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8C9EB"/>
    <pageSetUpPr fitToPage="tru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2"/>
    <col collapsed="false" customWidth="true" hidden="false" outlineLevel="0" max="3" min="3" style="0" width="48"/>
    <col collapsed="false" customWidth="true" hidden="false" outlineLevel="0" max="4" min="4" style="0" width="12"/>
    <col collapsed="false" customWidth="true" hidden="false" outlineLevel="0" max="5" min="5" style="0" width="32"/>
    <col collapsed="false" customWidth="true" hidden="false" outlineLevel="0" max="6" min="6" style="0" width="24"/>
    <col collapsed="false" customWidth="true" hidden="false" outlineLevel="0" max="7" min="7" style="0" width="26"/>
  </cols>
  <sheetData>
    <row r="1" customFormat="false" ht="15" hidden="false" customHeight="false" outlineLevel="0" collapsed="false">
      <c r="A1" s="9" t="s">
        <v>739</v>
      </c>
      <c r="B1" s="9" t="s">
        <v>740</v>
      </c>
      <c r="C1" s="9" t="s">
        <v>741</v>
      </c>
      <c r="D1" s="9" t="s">
        <v>742</v>
      </c>
      <c r="E1" s="9" t="s">
        <v>355</v>
      </c>
      <c r="F1" s="9" t="s">
        <v>743</v>
      </c>
      <c r="G1" s="9" t="s">
        <v>15</v>
      </c>
    </row>
    <row r="2" customFormat="false" ht="15" hidden="false" customHeight="false" outlineLevel="0" collapsed="false">
      <c r="A2" s="13" t="s">
        <v>744</v>
      </c>
      <c r="B2" s="13" t="s">
        <v>745</v>
      </c>
      <c r="C2" s="13" t="s">
        <v>746</v>
      </c>
      <c r="D2" s="13" t="s">
        <v>295</v>
      </c>
      <c r="E2" s="13" t="s">
        <v>307</v>
      </c>
      <c r="F2" s="13"/>
      <c r="G2" s="13"/>
    </row>
    <row r="3" customFormat="false" ht="15" hidden="false" customHeight="false" outlineLevel="0" collapsed="false">
      <c r="A3" s="13" t="s">
        <v>747</v>
      </c>
      <c r="B3" s="13" t="s">
        <v>748</v>
      </c>
      <c r="C3" s="13" t="s">
        <v>749</v>
      </c>
      <c r="D3" s="13" t="s">
        <v>257</v>
      </c>
      <c r="E3" s="13" t="s">
        <v>308</v>
      </c>
      <c r="F3" s="13"/>
      <c r="G3" s="13"/>
    </row>
    <row r="4" customFormat="false" ht="15" hidden="false" customHeight="false" outlineLevel="0" collapsed="false">
      <c r="A4" s="13" t="s">
        <v>750</v>
      </c>
      <c r="B4" s="13" t="s">
        <v>751</v>
      </c>
      <c r="C4" s="13" t="s">
        <v>752</v>
      </c>
      <c r="D4" s="13" t="s">
        <v>257</v>
      </c>
      <c r="E4" s="13" t="s">
        <v>307</v>
      </c>
      <c r="F4" s="13"/>
      <c r="G4" s="13"/>
    </row>
    <row r="5" customFormat="false" ht="15" hidden="false" customHeight="false" outlineLevel="0" collapsed="false">
      <c r="A5" s="13" t="s">
        <v>753</v>
      </c>
      <c r="B5" s="13" t="s">
        <v>754</v>
      </c>
      <c r="C5" s="13" t="s">
        <v>755</v>
      </c>
      <c r="D5" s="13" t="s">
        <v>295</v>
      </c>
      <c r="E5" s="13" t="s">
        <v>296</v>
      </c>
      <c r="F5" s="13"/>
      <c r="G5" s="13"/>
    </row>
    <row r="6" customFormat="false" ht="15" hidden="false" customHeight="false" outlineLevel="0" collapsed="false">
      <c r="A6" s="13" t="s">
        <v>756</v>
      </c>
      <c r="B6" s="13" t="s">
        <v>757</v>
      </c>
      <c r="C6" s="13" t="s">
        <v>758</v>
      </c>
      <c r="D6" s="13" t="s">
        <v>257</v>
      </c>
      <c r="E6" s="13" t="s">
        <v>321</v>
      </c>
      <c r="F6" s="13"/>
      <c r="G6" s="13"/>
    </row>
    <row r="7" customFormat="false" ht="15" hidden="false" customHeight="false" outlineLevel="0" collapsed="false">
      <c r="A7" s="13" t="s">
        <v>759</v>
      </c>
      <c r="B7" s="13" t="s">
        <v>760</v>
      </c>
      <c r="C7" s="13" t="s">
        <v>761</v>
      </c>
      <c r="D7" s="13" t="s">
        <v>257</v>
      </c>
      <c r="E7" s="13" t="s">
        <v>308</v>
      </c>
      <c r="F7" s="13"/>
      <c r="G7" s="13"/>
    </row>
    <row r="8" customFormat="false" ht="15" hidden="false" customHeight="false" outlineLevel="0" collapsed="false">
      <c r="A8" s="13" t="s">
        <v>762</v>
      </c>
      <c r="B8" s="13" t="s">
        <v>763</v>
      </c>
      <c r="C8" s="13" t="s">
        <v>764</v>
      </c>
      <c r="D8" s="13" t="s">
        <v>257</v>
      </c>
      <c r="E8" s="13" t="s">
        <v>342</v>
      </c>
      <c r="F8" s="13"/>
      <c r="G8" s="13"/>
    </row>
    <row r="9" customFormat="false" ht="15" hidden="false" customHeight="false" outlineLevel="0" collapsed="false">
      <c r="A9" s="13" t="s">
        <v>765</v>
      </c>
      <c r="B9" s="13" t="s">
        <v>766</v>
      </c>
      <c r="C9" s="13" t="s">
        <v>767</v>
      </c>
      <c r="D9" s="13" t="s">
        <v>257</v>
      </c>
      <c r="E9" s="13" t="s">
        <v>308</v>
      </c>
      <c r="F9" s="13"/>
      <c r="G9" s="13"/>
    </row>
    <row r="10" customFormat="false" ht="15" hidden="false" customHeight="false" outlineLevel="0" collapsed="false">
      <c r="A10" s="13" t="s">
        <v>768</v>
      </c>
      <c r="B10" s="13" t="s">
        <v>769</v>
      </c>
      <c r="C10" s="13" t="s">
        <v>770</v>
      </c>
      <c r="D10" s="13" t="s">
        <v>295</v>
      </c>
      <c r="E10" s="13" t="s">
        <v>296</v>
      </c>
      <c r="F10" s="13"/>
      <c r="G10" s="13"/>
    </row>
    <row r="11" customFormat="false" ht="15" hidden="false" customHeight="false" outlineLevel="0" collapsed="false">
      <c r="A11" s="13" t="s">
        <v>771</v>
      </c>
      <c r="B11" s="13" t="s">
        <v>772</v>
      </c>
      <c r="C11" s="13" t="s">
        <v>773</v>
      </c>
      <c r="D11" s="13" t="s">
        <v>257</v>
      </c>
      <c r="E11" s="13" t="s">
        <v>311</v>
      </c>
      <c r="F11" s="13"/>
      <c r="G11" s="13"/>
    </row>
    <row r="12" customFormat="false" ht="15" hidden="false" customHeight="false" outlineLevel="0" collapsed="false">
      <c r="A12" s="13" t="s">
        <v>774</v>
      </c>
      <c r="B12" s="13" t="s">
        <v>775</v>
      </c>
      <c r="C12" s="13" t="s">
        <v>776</v>
      </c>
      <c r="D12" s="13" t="s">
        <v>295</v>
      </c>
      <c r="E12" s="13" t="s">
        <v>302</v>
      </c>
      <c r="F12" s="13"/>
      <c r="G12" s="13"/>
    </row>
    <row r="13" customFormat="false" ht="15" hidden="false" customHeight="false" outlineLevel="0" collapsed="false">
      <c r="A13" s="13" t="s">
        <v>777</v>
      </c>
      <c r="B13" s="13" t="s">
        <v>778</v>
      </c>
      <c r="C13" s="13" t="s">
        <v>779</v>
      </c>
      <c r="D13" s="13" t="s">
        <v>293</v>
      </c>
      <c r="E13" s="13" t="s">
        <v>291</v>
      </c>
      <c r="F13" s="13"/>
      <c r="G13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8C9EB"/>
    <pageSetUpPr fitToPage="true"/>
  </sheetPr>
  <dimension ref="A1:G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46"/>
    <col collapsed="false" customWidth="true" hidden="false" outlineLevel="0" max="5" min="5" style="0" width="38"/>
    <col collapsed="false" customWidth="true" hidden="false" outlineLevel="0" max="6" min="6" style="0" width="36"/>
    <col collapsed="false" customWidth="true" hidden="false" outlineLevel="0" max="7" min="7" style="0" width="24"/>
  </cols>
  <sheetData>
    <row r="1" customFormat="false" ht="15" hidden="false" customHeight="false" outlineLevel="0" collapsed="false">
      <c r="A1" s="9" t="s">
        <v>780</v>
      </c>
      <c r="B1" s="9" t="s">
        <v>742</v>
      </c>
      <c r="C1" s="9" t="s">
        <v>781</v>
      </c>
      <c r="D1" s="9" t="s">
        <v>782</v>
      </c>
      <c r="E1" s="9" t="s">
        <v>783</v>
      </c>
      <c r="F1" s="9" t="s">
        <v>784</v>
      </c>
      <c r="G1" s="9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8C9EB"/>
    <pageSetUpPr fitToPage="true"/>
  </sheetPr>
  <dimension ref="A1:G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8"/>
    <col collapsed="false" customWidth="true" hidden="false" outlineLevel="0" max="3" min="3" style="0" width="44"/>
    <col collapsed="false" customWidth="true" hidden="false" outlineLevel="0" max="4" min="4" style="0" width="26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34"/>
  </cols>
  <sheetData>
    <row r="1" customFormat="false" ht="15" hidden="false" customHeight="false" outlineLevel="0" collapsed="false">
      <c r="A1" s="9" t="s">
        <v>375</v>
      </c>
      <c r="B1" s="9" t="s">
        <v>785</v>
      </c>
      <c r="C1" s="9" t="s">
        <v>786</v>
      </c>
      <c r="D1" s="9" t="s">
        <v>787</v>
      </c>
      <c r="E1" s="9" t="s">
        <v>788</v>
      </c>
      <c r="F1" s="9" t="s">
        <v>710</v>
      </c>
      <c r="G1" s="9" t="s">
        <v>789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8C9EB"/>
    <pageSetUpPr fitToPage="true"/>
  </sheetPr>
  <dimension ref="A1:N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6"/>
    <col collapsed="false" customWidth="true" hidden="false" outlineLevel="0" max="3" min="3" style="0" width="20"/>
    <col collapsed="false" customWidth="true" hidden="false" outlineLevel="0" max="4" min="4" style="0" width="15"/>
    <col collapsed="false" customWidth="true" hidden="false" outlineLevel="0" max="5" min="5" style="0" width="11"/>
    <col collapsed="false" customWidth="true" hidden="false" outlineLevel="0" max="6" min="6" style="0" width="26"/>
    <col collapsed="false" customWidth="true" hidden="false" outlineLevel="0" max="7" min="7" style="0" width="8"/>
    <col collapsed="false" customWidth="true" hidden="false" outlineLevel="0" max="9" min="8" style="0" width="11"/>
    <col collapsed="false" customWidth="true" hidden="false" outlineLevel="0" max="10" min="10" style="0" width="7"/>
    <col collapsed="false" customWidth="true" hidden="false" outlineLevel="0" max="11" min="11" style="0" width="11"/>
    <col collapsed="false" customWidth="true" hidden="false" outlineLevel="0" max="12" min="12" style="0" width="9"/>
    <col collapsed="false" customWidth="true" hidden="false" outlineLevel="0" max="13" min="13" style="0" width="36"/>
    <col collapsed="false" customWidth="true" hidden="false" outlineLevel="0" max="14" min="14" style="0" width="30"/>
  </cols>
  <sheetData>
    <row r="1" customFormat="false" ht="15" hidden="false" customHeight="false" outlineLevel="0" collapsed="false">
      <c r="A1" s="9" t="s">
        <v>790</v>
      </c>
      <c r="B1" s="9" t="s">
        <v>791</v>
      </c>
      <c r="C1" s="9" t="s">
        <v>66</v>
      </c>
      <c r="D1" s="9" t="s">
        <v>67</v>
      </c>
      <c r="E1" s="9" t="s">
        <v>792</v>
      </c>
      <c r="F1" s="9" t="s">
        <v>355</v>
      </c>
      <c r="G1" s="9" t="s">
        <v>353</v>
      </c>
      <c r="H1" s="9" t="s">
        <v>793</v>
      </c>
      <c r="I1" s="9" t="s">
        <v>794</v>
      </c>
      <c r="J1" s="9" t="s">
        <v>795</v>
      </c>
      <c r="K1" s="9" t="s">
        <v>710</v>
      </c>
      <c r="L1" s="9" t="s">
        <v>796</v>
      </c>
      <c r="M1" s="9" t="s">
        <v>797</v>
      </c>
      <c r="N1" s="9" t="s">
        <v>15</v>
      </c>
    </row>
    <row r="2" customFormat="false" ht="15" hidden="false" customHeight="false" outlineLevel="0" collapsed="false">
      <c r="A2" s="13" t="s">
        <v>798</v>
      </c>
      <c r="B2" s="13" t="s">
        <v>799</v>
      </c>
      <c r="C2" s="13" t="s">
        <v>800</v>
      </c>
      <c r="D2" s="13" t="s">
        <v>81</v>
      </c>
      <c r="E2" s="13" t="s">
        <v>82</v>
      </c>
      <c r="F2" s="13" t="s">
        <v>290</v>
      </c>
      <c r="G2" s="30" t="s">
        <v>363</v>
      </c>
      <c r="H2" s="31" t="n">
        <v>46398</v>
      </c>
      <c r="I2" s="31" t="n">
        <v>46416</v>
      </c>
      <c r="J2" s="30" t="n">
        <f aca="false">IF(AND(H2&lt;&gt;"",I2&lt;&gt;""),I2-H2+1,"")</f>
        <v>19</v>
      </c>
      <c r="K2" s="30" t="s">
        <v>801</v>
      </c>
      <c r="L2" s="32"/>
      <c r="M2" s="13" t="s">
        <v>802</v>
      </c>
      <c r="N2" s="13"/>
    </row>
    <row r="3" customFormat="false" ht="15" hidden="false" customHeight="false" outlineLevel="0" collapsed="false">
      <c r="A3" s="13" t="s">
        <v>798</v>
      </c>
      <c r="B3" s="13" t="s">
        <v>803</v>
      </c>
      <c r="C3" s="13" t="s">
        <v>800</v>
      </c>
      <c r="D3" s="13"/>
      <c r="E3" s="13"/>
      <c r="F3" s="13" t="s">
        <v>290</v>
      </c>
      <c r="G3" s="30" t="s">
        <v>804</v>
      </c>
      <c r="H3" s="31" t="n">
        <v>46416</v>
      </c>
      <c r="I3" s="31" t="n">
        <v>46416</v>
      </c>
      <c r="J3" s="30" t="n">
        <f aca="false">IF(AND(H3&lt;&gt;"",I3&lt;&gt;""),I3-H3+1,"")</f>
        <v>1</v>
      </c>
      <c r="K3" s="30" t="s">
        <v>801</v>
      </c>
      <c r="L3" s="32"/>
      <c r="M3" s="13"/>
      <c r="N3" s="13"/>
    </row>
    <row r="4" customFormat="false" ht="23.85" hidden="false" customHeight="false" outlineLevel="0" collapsed="false">
      <c r="A4" s="13" t="s">
        <v>798</v>
      </c>
      <c r="B4" s="13" t="s">
        <v>805</v>
      </c>
      <c r="C4" s="13" t="s">
        <v>800</v>
      </c>
      <c r="D4" s="13" t="s">
        <v>125</v>
      </c>
      <c r="E4" s="13" t="s">
        <v>806</v>
      </c>
      <c r="F4" s="13" t="s">
        <v>291</v>
      </c>
      <c r="G4" s="30" t="s">
        <v>363</v>
      </c>
      <c r="H4" s="31" t="n">
        <v>46398</v>
      </c>
      <c r="I4" s="31" t="n">
        <v>46409</v>
      </c>
      <c r="J4" s="30" t="n">
        <f aca="false">IF(AND(H4&lt;&gt;"",I4&lt;&gt;""),I4-H4+1,"")</f>
        <v>12</v>
      </c>
      <c r="K4" s="30" t="s">
        <v>801</v>
      </c>
      <c r="L4" s="32"/>
      <c r="M4" s="13" t="s">
        <v>807</v>
      </c>
      <c r="N4" s="13"/>
    </row>
    <row r="5" customFormat="false" ht="15" hidden="false" customHeight="false" outlineLevel="0" collapsed="false">
      <c r="A5" s="13" t="s">
        <v>798</v>
      </c>
      <c r="B5" s="13" t="s">
        <v>808</v>
      </c>
      <c r="C5" s="13" t="s">
        <v>800</v>
      </c>
      <c r="D5" s="13"/>
      <c r="E5" s="13"/>
      <c r="F5" s="13" t="s">
        <v>290</v>
      </c>
      <c r="G5" s="30" t="s">
        <v>363</v>
      </c>
      <c r="H5" s="31" t="n">
        <v>46405</v>
      </c>
      <c r="I5" s="31" t="n">
        <v>46430</v>
      </c>
      <c r="J5" s="30" t="n">
        <f aca="false">IF(AND(H5&lt;&gt;"",I5&lt;&gt;""),I5-H5+1,"")</f>
        <v>26</v>
      </c>
      <c r="K5" s="30" t="s">
        <v>801</v>
      </c>
      <c r="L5" s="32"/>
      <c r="M5" s="13" t="s">
        <v>809</v>
      </c>
      <c r="N5" s="13" t="s">
        <v>810</v>
      </c>
    </row>
    <row r="6" customFormat="false" ht="23.85" hidden="false" customHeight="false" outlineLevel="0" collapsed="false">
      <c r="A6" s="13" t="s">
        <v>798</v>
      </c>
      <c r="B6" s="13" t="s">
        <v>811</v>
      </c>
      <c r="C6" s="13" t="s">
        <v>800</v>
      </c>
      <c r="D6" s="13"/>
      <c r="E6" s="13"/>
      <c r="F6" s="13" t="s">
        <v>291</v>
      </c>
      <c r="G6" s="30" t="s">
        <v>363</v>
      </c>
      <c r="H6" s="31" t="n">
        <v>46398</v>
      </c>
      <c r="I6" s="31" t="n">
        <v>46444</v>
      </c>
      <c r="J6" s="30" t="n">
        <f aca="false">IF(AND(H6&lt;&gt;"",I6&lt;&gt;""),I6-H6+1,"")</f>
        <v>47</v>
      </c>
      <c r="K6" s="30" t="s">
        <v>801</v>
      </c>
      <c r="L6" s="32"/>
      <c r="M6" s="13" t="s">
        <v>812</v>
      </c>
      <c r="N6" s="13"/>
    </row>
    <row r="7" customFormat="false" ht="23.85" hidden="false" customHeight="false" outlineLevel="0" collapsed="false">
      <c r="A7" s="13" t="s">
        <v>798</v>
      </c>
      <c r="B7" s="13" t="s">
        <v>813</v>
      </c>
      <c r="C7" s="13" t="s">
        <v>800</v>
      </c>
      <c r="D7" s="13" t="s">
        <v>81</v>
      </c>
      <c r="E7" s="13" t="s">
        <v>86</v>
      </c>
      <c r="F7" s="13" t="s">
        <v>296</v>
      </c>
      <c r="G7" s="30" t="s">
        <v>363</v>
      </c>
      <c r="H7" s="31" t="n">
        <v>46419</v>
      </c>
      <c r="I7" s="31" t="n">
        <v>46444</v>
      </c>
      <c r="J7" s="30" t="n">
        <f aca="false">IF(AND(H7&lt;&gt;"",I7&lt;&gt;""),I7-H7+1,"")</f>
        <v>26</v>
      </c>
      <c r="K7" s="30" t="s">
        <v>801</v>
      </c>
      <c r="L7" s="32"/>
      <c r="M7" s="13" t="s">
        <v>814</v>
      </c>
      <c r="N7" s="13"/>
    </row>
    <row r="8" customFormat="false" ht="23.85" hidden="false" customHeight="false" outlineLevel="0" collapsed="false">
      <c r="A8" s="13" t="s">
        <v>798</v>
      </c>
      <c r="B8" s="13" t="s">
        <v>815</v>
      </c>
      <c r="C8" s="13" t="s">
        <v>800</v>
      </c>
      <c r="D8" s="13" t="s">
        <v>161</v>
      </c>
      <c r="E8" s="13"/>
      <c r="F8" s="13" t="s">
        <v>291</v>
      </c>
      <c r="G8" s="30" t="s">
        <v>363</v>
      </c>
      <c r="H8" s="31" t="n">
        <v>46447</v>
      </c>
      <c r="I8" s="31" t="n">
        <v>46507</v>
      </c>
      <c r="J8" s="30" t="n">
        <f aca="false">IF(AND(H8&lt;&gt;"",I8&lt;&gt;""),I8-H8+1,"")</f>
        <v>61</v>
      </c>
      <c r="K8" s="30" t="s">
        <v>801</v>
      </c>
      <c r="L8" s="32"/>
      <c r="M8" s="13" t="s">
        <v>816</v>
      </c>
      <c r="N8" s="13"/>
    </row>
    <row r="9" customFormat="false" ht="23.85" hidden="false" customHeight="false" outlineLevel="0" collapsed="false">
      <c r="A9" s="13" t="s">
        <v>798</v>
      </c>
      <c r="B9" s="13" t="s">
        <v>817</v>
      </c>
      <c r="C9" s="13" t="s">
        <v>800</v>
      </c>
      <c r="D9" s="13"/>
      <c r="E9" s="13"/>
      <c r="F9" s="13" t="s">
        <v>291</v>
      </c>
      <c r="G9" s="30" t="s">
        <v>363</v>
      </c>
      <c r="H9" s="31" t="n">
        <v>46426</v>
      </c>
      <c r="I9" s="31" t="n">
        <v>46507</v>
      </c>
      <c r="J9" s="30" t="n">
        <f aca="false">IF(AND(H9&lt;&gt;"",I9&lt;&gt;""),I9-H9+1,"")</f>
        <v>82</v>
      </c>
      <c r="K9" s="30" t="s">
        <v>801</v>
      </c>
      <c r="L9" s="32"/>
      <c r="M9" s="13" t="s">
        <v>818</v>
      </c>
      <c r="N9" s="13" t="s">
        <v>819</v>
      </c>
    </row>
    <row r="10" customFormat="false" ht="23.85" hidden="false" customHeight="false" outlineLevel="0" collapsed="false">
      <c r="A10" s="13" t="s">
        <v>798</v>
      </c>
      <c r="B10" s="13" t="s">
        <v>820</v>
      </c>
      <c r="C10" s="13" t="s">
        <v>800</v>
      </c>
      <c r="D10" s="13"/>
      <c r="E10" s="13"/>
      <c r="F10" s="13" t="s">
        <v>291</v>
      </c>
      <c r="G10" s="30" t="s">
        <v>804</v>
      </c>
      <c r="H10" s="31" t="n">
        <v>46507</v>
      </c>
      <c r="I10" s="31" t="n">
        <v>46507</v>
      </c>
      <c r="J10" s="30" t="n">
        <f aca="false">IF(AND(H10&lt;&gt;"",I10&lt;&gt;""),I10-H10+1,"")</f>
        <v>1</v>
      </c>
      <c r="K10" s="30" t="s">
        <v>801</v>
      </c>
      <c r="L10" s="32"/>
      <c r="M10" s="13"/>
      <c r="N10" s="13"/>
    </row>
    <row r="11" customFormat="false" ht="23.85" hidden="false" customHeight="false" outlineLevel="0" collapsed="false">
      <c r="A11" s="13" t="s">
        <v>821</v>
      </c>
      <c r="B11" s="13" t="s">
        <v>822</v>
      </c>
      <c r="C11" s="13" t="s">
        <v>181</v>
      </c>
      <c r="D11" s="13"/>
      <c r="E11" s="13"/>
      <c r="F11" s="13" t="s">
        <v>291</v>
      </c>
      <c r="G11" s="30" t="s">
        <v>363</v>
      </c>
      <c r="H11" s="31" t="n">
        <v>46398</v>
      </c>
      <c r="I11" s="31" t="n">
        <v>46423</v>
      </c>
      <c r="J11" s="30" t="n">
        <f aca="false">IF(AND(H11&lt;&gt;"",I11&lt;&gt;""),I11-H11+1,"")</f>
        <v>26</v>
      </c>
      <c r="K11" s="30" t="s">
        <v>801</v>
      </c>
      <c r="L11" s="32"/>
      <c r="M11" s="13" t="s">
        <v>823</v>
      </c>
      <c r="N11" s="13" t="s">
        <v>824</v>
      </c>
    </row>
    <row r="12" customFormat="false" ht="23.85" hidden="false" customHeight="false" outlineLevel="0" collapsed="false">
      <c r="A12" s="13" t="s">
        <v>821</v>
      </c>
      <c r="B12" s="13" t="s">
        <v>825</v>
      </c>
      <c r="C12" s="13" t="s">
        <v>181</v>
      </c>
      <c r="D12" s="13" t="s">
        <v>96</v>
      </c>
      <c r="E12" s="13" t="s">
        <v>97</v>
      </c>
      <c r="F12" s="13" t="s">
        <v>302</v>
      </c>
      <c r="G12" s="30" t="s">
        <v>363</v>
      </c>
      <c r="H12" s="31" t="n">
        <v>46419</v>
      </c>
      <c r="I12" s="31" t="n">
        <v>46477</v>
      </c>
      <c r="J12" s="30" t="n">
        <f aca="false">IF(AND(H12&lt;&gt;"",I12&lt;&gt;""),I12-H12+1,"")</f>
        <v>59</v>
      </c>
      <c r="K12" s="30" t="s">
        <v>801</v>
      </c>
      <c r="L12" s="32"/>
      <c r="M12" s="13" t="s">
        <v>826</v>
      </c>
      <c r="N12" s="13"/>
    </row>
    <row r="13" customFormat="false" ht="35.05" hidden="false" customHeight="false" outlineLevel="0" collapsed="false">
      <c r="A13" s="13" t="s">
        <v>821</v>
      </c>
      <c r="B13" s="13" t="s">
        <v>827</v>
      </c>
      <c r="C13" s="13" t="s">
        <v>181</v>
      </c>
      <c r="D13" s="13" t="s">
        <v>96</v>
      </c>
      <c r="E13" s="13" t="s">
        <v>99</v>
      </c>
      <c r="F13" s="13" t="s">
        <v>302</v>
      </c>
      <c r="G13" s="30" t="s">
        <v>363</v>
      </c>
      <c r="H13" s="31" t="n">
        <v>46447</v>
      </c>
      <c r="I13" s="31" t="n">
        <v>46507</v>
      </c>
      <c r="J13" s="30" t="n">
        <f aca="false">IF(AND(H13&lt;&gt;"",I13&lt;&gt;""),I13-H13+1,"")</f>
        <v>61</v>
      </c>
      <c r="K13" s="30" t="s">
        <v>801</v>
      </c>
      <c r="L13" s="32"/>
      <c r="M13" s="13" t="s">
        <v>828</v>
      </c>
      <c r="N13" s="13" t="s">
        <v>829</v>
      </c>
    </row>
    <row r="14" customFormat="false" ht="23.85" hidden="false" customHeight="false" outlineLevel="0" collapsed="false">
      <c r="A14" s="13" t="s">
        <v>821</v>
      </c>
      <c r="B14" s="13" t="s">
        <v>830</v>
      </c>
      <c r="C14" s="13" t="s">
        <v>181</v>
      </c>
      <c r="D14" s="13" t="s">
        <v>96</v>
      </c>
      <c r="E14" s="13" t="s">
        <v>105</v>
      </c>
      <c r="F14" s="13" t="s">
        <v>302</v>
      </c>
      <c r="G14" s="30" t="s">
        <v>363</v>
      </c>
      <c r="H14" s="31" t="n">
        <v>46447</v>
      </c>
      <c r="I14" s="31" t="n">
        <v>46535</v>
      </c>
      <c r="J14" s="30" t="n">
        <f aca="false">IF(AND(H14&lt;&gt;"",I14&lt;&gt;""),I14-H14+1,"")</f>
        <v>89</v>
      </c>
      <c r="K14" s="30" t="s">
        <v>801</v>
      </c>
      <c r="L14" s="32"/>
      <c r="M14" s="13" t="s">
        <v>831</v>
      </c>
      <c r="N14" s="13"/>
    </row>
    <row r="15" customFormat="false" ht="15" hidden="false" customHeight="false" outlineLevel="0" collapsed="false">
      <c r="A15" s="13" t="s">
        <v>821</v>
      </c>
      <c r="B15" s="13" t="s">
        <v>832</v>
      </c>
      <c r="C15" s="13" t="s">
        <v>181</v>
      </c>
      <c r="D15" s="13" t="s">
        <v>96</v>
      </c>
      <c r="E15" s="13" t="s">
        <v>101</v>
      </c>
      <c r="F15" s="13" t="s">
        <v>308</v>
      </c>
      <c r="G15" s="30" t="s">
        <v>363</v>
      </c>
      <c r="H15" s="31" t="n">
        <v>46482</v>
      </c>
      <c r="I15" s="31" t="n">
        <v>46535</v>
      </c>
      <c r="J15" s="30" t="n">
        <f aca="false">IF(AND(H15&lt;&gt;"",I15&lt;&gt;""),I15-H15+1,"")</f>
        <v>54</v>
      </c>
      <c r="K15" s="30" t="s">
        <v>801</v>
      </c>
      <c r="L15" s="32"/>
      <c r="M15" s="13" t="s">
        <v>833</v>
      </c>
      <c r="N15" s="13"/>
    </row>
    <row r="16" customFormat="false" ht="15" hidden="false" customHeight="false" outlineLevel="0" collapsed="false">
      <c r="A16" s="13" t="s">
        <v>821</v>
      </c>
      <c r="B16" s="13" t="s">
        <v>834</v>
      </c>
      <c r="C16" s="13" t="s">
        <v>181</v>
      </c>
      <c r="D16" s="13" t="s">
        <v>96</v>
      </c>
      <c r="E16" s="13" t="s">
        <v>103</v>
      </c>
      <c r="F16" s="13" t="s">
        <v>307</v>
      </c>
      <c r="G16" s="30" t="s">
        <v>363</v>
      </c>
      <c r="H16" s="31" t="n">
        <v>46482</v>
      </c>
      <c r="I16" s="31" t="n">
        <v>46535</v>
      </c>
      <c r="J16" s="30" t="n">
        <f aca="false">IF(AND(H16&lt;&gt;"",I16&lt;&gt;""),I16-H16+1,"")</f>
        <v>54</v>
      </c>
      <c r="K16" s="30" t="s">
        <v>801</v>
      </c>
      <c r="L16" s="32"/>
      <c r="M16" s="13" t="s">
        <v>835</v>
      </c>
      <c r="N16" s="13" t="s">
        <v>836</v>
      </c>
    </row>
    <row r="17" customFormat="false" ht="23.85" hidden="false" customHeight="false" outlineLevel="0" collapsed="false">
      <c r="A17" s="13" t="s">
        <v>821</v>
      </c>
      <c r="B17" s="13" t="s">
        <v>837</v>
      </c>
      <c r="C17" s="13" t="s">
        <v>181</v>
      </c>
      <c r="D17" s="13" t="s">
        <v>107</v>
      </c>
      <c r="E17" s="13" t="s">
        <v>108</v>
      </c>
      <c r="F17" s="13" t="s">
        <v>307</v>
      </c>
      <c r="G17" s="30" t="s">
        <v>363</v>
      </c>
      <c r="H17" s="31" t="n">
        <v>46419</v>
      </c>
      <c r="I17" s="31" t="n">
        <v>46472</v>
      </c>
      <c r="J17" s="30" t="n">
        <f aca="false">IF(AND(H17&lt;&gt;"",I17&lt;&gt;""),I17-H17+1,"")</f>
        <v>54</v>
      </c>
      <c r="K17" s="30" t="s">
        <v>801</v>
      </c>
      <c r="L17" s="32"/>
      <c r="M17" s="13" t="s">
        <v>838</v>
      </c>
      <c r="N17" s="13"/>
    </row>
    <row r="18" customFormat="false" ht="15" hidden="false" customHeight="false" outlineLevel="0" collapsed="false">
      <c r="A18" s="13" t="s">
        <v>821</v>
      </c>
      <c r="B18" s="13" t="s">
        <v>839</v>
      </c>
      <c r="C18" s="13" t="s">
        <v>181</v>
      </c>
      <c r="D18" s="13" t="s">
        <v>107</v>
      </c>
      <c r="E18" s="13"/>
      <c r="F18" s="13" t="s">
        <v>307</v>
      </c>
      <c r="G18" s="30" t="s">
        <v>804</v>
      </c>
      <c r="H18" s="31" t="n">
        <v>46477</v>
      </c>
      <c r="I18" s="31" t="n">
        <v>46477</v>
      </c>
      <c r="J18" s="30" t="n">
        <f aca="false">IF(AND(H18&lt;&gt;"",I18&lt;&gt;""),I18-H18+1,"")</f>
        <v>1</v>
      </c>
      <c r="K18" s="30" t="s">
        <v>801</v>
      </c>
      <c r="L18" s="32"/>
      <c r="M18" s="13"/>
      <c r="N18" s="13"/>
    </row>
    <row r="19" customFormat="false" ht="23.85" hidden="false" customHeight="false" outlineLevel="0" collapsed="false">
      <c r="A19" s="13" t="s">
        <v>821</v>
      </c>
      <c r="B19" s="13" t="s">
        <v>840</v>
      </c>
      <c r="C19" s="13" t="s">
        <v>181</v>
      </c>
      <c r="D19" s="13" t="s">
        <v>107</v>
      </c>
      <c r="E19" s="13" t="s">
        <v>841</v>
      </c>
      <c r="F19" s="13" t="s">
        <v>296</v>
      </c>
      <c r="G19" s="30" t="s">
        <v>363</v>
      </c>
      <c r="H19" s="31" t="n">
        <v>46447</v>
      </c>
      <c r="I19" s="31" t="n">
        <v>46507</v>
      </c>
      <c r="J19" s="30" t="n">
        <f aca="false">IF(AND(H19&lt;&gt;"",I19&lt;&gt;""),I19-H19+1,"")</f>
        <v>61</v>
      </c>
      <c r="K19" s="30" t="s">
        <v>801</v>
      </c>
      <c r="L19" s="32"/>
      <c r="M19" s="13" t="s">
        <v>842</v>
      </c>
      <c r="N19" s="13"/>
    </row>
    <row r="20" customFormat="false" ht="15" hidden="false" customHeight="false" outlineLevel="0" collapsed="false">
      <c r="A20" s="13" t="s">
        <v>821</v>
      </c>
      <c r="B20" s="13" t="s">
        <v>843</v>
      </c>
      <c r="C20" s="13" t="s">
        <v>181</v>
      </c>
      <c r="D20" s="13" t="s">
        <v>107</v>
      </c>
      <c r="E20" s="13" t="s">
        <v>112</v>
      </c>
      <c r="F20" s="13" t="s">
        <v>311</v>
      </c>
      <c r="G20" s="30" t="s">
        <v>363</v>
      </c>
      <c r="H20" s="31" t="n">
        <v>46447</v>
      </c>
      <c r="I20" s="31" t="n">
        <v>46507</v>
      </c>
      <c r="J20" s="30" t="n">
        <f aca="false">IF(AND(H20&lt;&gt;"",I20&lt;&gt;""),I20-H20+1,"")</f>
        <v>61</v>
      </c>
      <c r="K20" s="30" t="s">
        <v>801</v>
      </c>
      <c r="L20" s="32"/>
      <c r="M20" s="13" t="s">
        <v>844</v>
      </c>
      <c r="N20" s="13"/>
    </row>
    <row r="21" customFormat="false" ht="15" hidden="false" customHeight="false" outlineLevel="0" collapsed="false">
      <c r="A21" s="13" t="s">
        <v>821</v>
      </c>
      <c r="B21" s="13" t="s">
        <v>845</v>
      </c>
      <c r="C21" s="13" t="s">
        <v>181</v>
      </c>
      <c r="D21" s="13" t="s">
        <v>107</v>
      </c>
      <c r="E21" s="13" t="s">
        <v>114</v>
      </c>
      <c r="F21" s="13" t="s">
        <v>311</v>
      </c>
      <c r="G21" s="30" t="s">
        <v>363</v>
      </c>
      <c r="H21" s="31" t="n">
        <v>46482</v>
      </c>
      <c r="I21" s="31" t="n">
        <v>46535</v>
      </c>
      <c r="J21" s="30" t="n">
        <f aca="false">IF(AND(H21&lt;&gt;"",I21&lt;&gt;""),I21-H21+1,"")</f>
        <v>54</v>
      </c>
      <c r="K21" s="30" t="s">
        <v>801</v>
      </c>
      <c r="L21" s="32"/>
      <c r="M21" s="13" t="s">
        <v>846</v>
      </c>
      <c r="N21" s="13"/>
    </row>
    <row r="22" customFormat="false" ht="15" hidden="false" customHeight="false" outlineLevel="0" collapsed="false">
      <c r="A22" s="13" t="s">
        <v>821</v>
      </c>
      <c r="B22" s="13" t="s">
        <v>847</v>
      </c>
      <c r="C22" s="13" t="s">
        <v>181</v>
      </c>
      <c r="D22" s="13" t="s">
        <v>116</v>
      </c>
      <c r="E22" s="13" t="s">
        <v>117</v>
      </c>
      <c r="F22" s="13" t="s">
        <v>307</v>
      </c>
      <c r="G22" s="30" t="s">
        <v>363</v>
      </c>
      <c r="H22" s="31" t="n">
        <v>46447</v>
      </c>
      <c r="I22" s="31" t="n">
        <v>46507</v>
      </c>
      <c r="J22" s="30" t="n">
        <f aca="false">IF(AND(H22&lt;&gt;"",I22&lt;&gt;""),I22-H22+1,"")</f>
        <v>61</v>
      </c>
      <c r="K22" s="30" t="s">
        <v>801</v>
      </c>
      <c r="L22" s="32"/>
      <c r="M22" s="13" t="s">
        <v>848</v>
      </c>
      <c r="N22" s="13"/>
    </row>
    <row r="23" customFormat="false" ht="15" hidden="false" customHeight="false" outlineLevel="0" collapsed="false">
      <c r="A23" s="13" t="s">
        <v>821</v>
      </c>
      <c r="B23" s="13" t="s">
        <v>849</v>
      </c>
      <c r="C23" s="13" t="s">
        <v>181</v>
      </c>
      <c r="D23" s="13" t="s">
        <v>116</v>
      </c>
      <c r="E23" s="13" t="s">
        <v>119</v>
      </c>
      <c r="F23" s="13" t="s">
        <v>317</v>
      </c>
      <c r="G23" s="30" t="s">
        <v>363</v>
      </c>
      <c r="H23" s="31" t="n">
        <v>46482</v>
      </c>
      <c r="I23" s="31" t="n">
        <v>46568</v>
      </c>
      <c r="J23" s="30" t="n">
        <f aca="false">IF(AND(H23&lt;&gt;"",I23&lt;&gt;""),I23-H23+1,"")</f>
        <v>87</v>
      </c>
      <c r="K23" s="30" t="s">
        <v>801</v>
      </c>
      <c r="L23" s="32"/>
      <c r="M23" s="13" t="s">
        <v>850</v>
      </c>
      <c r="N23" s="13" t="s">
        <v>851</v>
      </c>
    </row>
    <row r="24" customFormat="false" ht="15" hidden="false" customHeight="false" outlineLevel="0" collapsed="false">
      <c r="A24" s="13" t="s">
        <v>821</v>
      </c>
      <c r="B24" s="13" t="s">
        <v>852</v>
      </c>
      <c r="C24" s="13" t="s">
        <v>181</v>
      </c>
      <c r="D24" s="13" t="s">
        <v>116</v>
      </c>
      <c r="E24" s="13" t="s">
        <v>121</v>
      </c>
      <c r="F24" s="13" t="s">
        <v>311</v>
      </c>
      <c r="G24" s="30" t="s">
        <v>363</v>
      </c>
      <c r="H24" s="31" t="n">
        <v>46482</v>
      </c>
      <c r="I24" s="31" t="n">
        <v>46521</v>
      </c>
      <c r="J24" s="30" t="n">
        <f aca="false">IF(AND(H24&lt;&gt;"",I24&lt;&gt;""),I24-H24+1,"")</f>
        <v>40</v>
      </c>
      <c r="K24" s="30" t="s">
        <v>801</v>
      </c>
      <c r="L24" s="32"/>
      <c r="M24" s="13" t="s">
        <v>853</v>
      </c>
      <c r="N24" s="13"/>
    </row>
    <row r="25" customFormat="false" ht="15" hidden="false" customHeight="false" outlineLevel="0" collapsed="false">
      <c r="A25" s="13" t="s">
        <v>821</v>
      </c>
      <c r="B25" s="13" t="s">
        <v>854</v>
      </c>
      <c r="C25" s="13" t="s">
        <v>181</v>
      </c>
      <c r="D25" s="13" t="s">
        <v>116</v>
      </c>
      <c r="E25" s="13" t="s">
        <v>123</v>
      </c>
      <c r="F25" s="13" t="s">
        <v>307</v>
      </c>
      <c r="G25" s="30" t="s">
        <v>363</v>
      </c>
      <c r="H25" s="31" t="n">
        <v>46482</v>
      </c>
      <c r="I25" s="31" t="n">
        <v>46535</v>
      </c>
      <c r="J25" s="30" t="n">
        <f aca="false">IF(AND(H25&lt;&gt;"",I25&lt;&gt;""),I25-H25+1,"")</f>
        <v>54</v>
      </c>
      <c r="K25" s="30" t="s">
        <v>801</v>
      </c>
      <c r="L25" s="32"/>
      <c r="M25" s="13" t="s">
        <v>855</v>
      </c>
      <c r="N25" s="13"/>
    </row>
    <row r="26" customFormat="false" ht="15" hidden="false" customHeight="false" outlineLevel="0" collapsed="false">
      <c r="A26" s="13" t="s">
        <v>821</v>
      </c>
      <c r="B26" s="13" t="s">
        <v>856</v>
      </c>
      <c r="C26" s="13" t="s">
        <v>181</v>
      </c>
      <c r="D26" s="13" t="s">
        <v>125</v>
      </c>
      <c r="E26" s="13" t="s">
        <v>806</v>
      </c>
      <c r="F26" s="13" t="s">
        <v>321</v>
      </c>
      <c r="G26" s="30" t="s">
        <v>363</v>
      </c>
      <c r="H26" s="31" t="n">
        <v>46419</v>
      </c>
      <c r="I26" s="31" t="n">
        <v>46444</v>
      </c>
      <c r="J26" s="30" t="n">
        <f aca="false">IF(AND(H26&lt;&gt;"",I26&lt;&gt;""),I26-H26+1,"")</f>
        <v>26</v>
      </c>
      <c r="K26" s="30" t="s">
        <v>801</v>
      </c>
      <c r="L26" s="32"/>
      <c r="M26" s="13" t="s">
        <v>857</v>
      </c>
      <c r="N26" s="13"/>
    </row>
    <row r="27" customFormat="false" ht="23.85" hidden="false" customHeight="false" outlineLevel="0" collapsed="false">
      <c r="A27" s="13" t="s">
        <v>821</v>
      </c>
      <c r="B27" s="13" t="s">
        <v>858</v>
      </c>
      <c r="C27" s="13" t="s">
        <v>181</v>
      </c>
      <c r="D27" s="13" t="s">
        <v>125</v>
      </c>
      <c r="E27" s="13" t="s">
        <v>859</v>
      </c>
      <c r="F27" s="13" t="s">
        <v>307</v>
      </c>
      <c r="G27" s="30" t="s">
        <v>363</v>
      </c>
      <c r="H27" s="31" t="n">
        <v>46482</v>
      </c>
      <c r="I27" s="31" t="n">
        <v>46535</v>
      </c>
      <c r="J27" s="30" t="n">
        <f aca="false">IF(AND(H27&lt;&gt;"",I27&lt;&gt;""),I27-H27+1,"")</f>
        <v>54</v>
      </c>
      <c r="K27" s="30" t="s">
        <v>801</v>
      </c>
      <c r="L27" s="32"/>
      <c r="M27" s="13" t="s">
        <v>860</v>
      </c>
      <c r="N27" s="13"/>
    </row>
    <row r="28" customFormat="false" ht="15" hidden="false" customHeight="false" outlineLevel="0" collapsed="false">
      <c r="A28" s="13" t="s">
        <v>821</v>
      </c>
      <c r="B28" s="13" t="s">
        <v>861</v>
      </c>
      <c r="C28" s="13" t="s">
        <v>181</v>
      </c>
      <c r="D28" s="13"/>
      <c r="E28" s="13"/>
      <c r="F28" s="13" t="s">
        <v>307</v>
      </c>
      <c r="G28" s="30" t="s">
        <v>363</v>
      </c>
      <c r="H28" s="31" t="n">
        <v>46510</v>
      </c>
      <c r="I28" s="31" t="n">
        <v>46568</v>
      </c>
      <c r="J28" s="30" t="n">
        <f aca="false">IF(AND(H28&lt;&gt;"",I28&lt;&gt;""),I28-H28+1,"")</f>
        <v>59</v>
      </c>
      <c r="K28" s="30" t="s">
        <v>801</v>
      </c>
      <c r="L28" s="32"/>
      <c r="M28" s="13" t="s">
        <v>862</v>
      </c>
      <c r="N28" s="13"/>
    </row>
    <row r="29" customFormat="false" ht="15" hidden="false" customHeight="false" outlineLevel="0" collapsed="false">
      <c r="A29" s="13" t="s">
        <v>821</v>
      </c>
      <c r="B29" s="13" t="s">
        <v>863</v>
      </c>
      <c r="C29" s="13" t="s">
        <v>181</v>
      </c>
      <c r="D29" s="13"/>
      <c r="E29" s="13"/>
      <c r="F29" s="13" t="s">
        <v>290</v>
      </c>
      <c r="G29" s="30" t="s">
        <v>804</v>
      </c>
      <c r="H29" s="31" t="n">
        <v>46568</v>
      </c>
      <c r="I29" s="31" t="n">
        <v>46568</v>
      </c>
      <c r="J29" s="30" t="n">
        <f aca="false">IF(AND(H29&lt;&gt;"",I29&lt;&gt;""),I29-H29+1,"")</f>
        <v>1</v>
      </c>
      <c r="K29" s="30" t="s">
        <v>801</v>
      </c>
      <c r="L29" s="32"/>
      <c r="M29" s="13"/>
      <c r="N29" s="13"/>
    </row>
    <row r="30" customFormat="false" ht="23.85" hidden="false" customHeight="false" outlineLevel="0" collapsed="false">
      <c r="A30" s="13" t="s">
        <v>864</v>
      </c>
      <c r="B30" s="13" t="s">
        <v>865</v>
      </c>
      <c r="C30" s="13" t="s">
        <v>280</v>
      </c>
      <c r="D30" s="13"/>
      <c r="E30" s="13"/>
      <c r="F30" s="13" t="s">
        <v>561</v>
      </c>
      <c r="G30" s="30" t="s">
        <v>804</v>
      </c>
      <c r="H30" s="31" t="n">
        <v>46388</v>
      </c>
      <c r="I30" s="31" t="n">
        <v>46388</v>
      </c>
      <c r="J30" s="30" t="n">
        <f aca="false">IF(AND(H30&lt;&gt;"",I30&lt;&gt;""),I30-H30+1,"")</f>
        <v>1</v>
      </c>
      <c r="K30" s="30" t="s">
        <v>801</v>
      </c>
      <c r="L30" s="32"/>
      <c r="M30" s="13"/>
      <c r="N30" s="13" t="s">
        <v>866</v>
      </c>
    </row>
    <row r="31" customFormat="false" ht="23.85" hidden="false" customHeight="false" outlineLevel="0" collapsed="false">
      <c r="A31" s="13" t="s">
        <v>864</v>
      </c>
      <c r="B31" s="13" t="s">
        <v>867</v>
      </c>
      <c r="C31" s="13" t="s">
        <v>278</v>
      </c>
      <c r="D31" s="13"/>
      <c r="E31" s="13"/>
      <c r="F31" s="13" t="s">
        <v>561</v>
      </c>
      <c r="G31" s="30" t="s">
        <v>363</v>
      </c>
      <c r="H31" s="31" t="n">
        <v>46398</v>
      </c>
      <c r="I31" s="31" t="n">
        <v>46477</v>
      </c>
      <c r="J31" s="30" t="n">
        <f aca="false">IF(AND(H31&lt;&gt;"",I31&lt;&gt;""),I31-H31+1,"")</f>
        <v>80</v>
      </c>
      <c r="K31" s="30" t="s">
        <v>801</v>
      </c>
      <c r="L31" s="32"/>
      <c r="M31" s="13" t="s">
        <v>868</v>
      </c>
      <c r="N31" s="13" t="s">
        <v>869</v>
      </c>
    </row>
    <row r="32" customFormat="false" ht="23.85" hidden="false" customHeight="false" outlineLevel="0" collapsed="false">
      <c r="A32" s="13" t="s">
        <v>864</v>
      </c>
      <c r="B32" s="13" t="s">
        <v>870</v>
      </c>
      <c r="C32" s="13" t="s">
        <v>800</v>
      </c>
      <c r="D32" s="13"/>
      <c r="E32" s="13"/>
      <c r="F32" s="13" t="s">
        <v>561</v>
      </c>
      <c r="G32" s="30" t="s">
        <v>363</v>
      </c>
      <c r="H32" s="31" t="n">
        <v>46447</v>
      </c>
      <c r="I32" s="31" t="n">
        <v>46568</v>
      </c>
      <c r="J32" s="30" t="n">
        <f aca="false">IF(AND(H32&lt;&gt;"",I32&lt;&gt;""),I32-H32+1,"")</f>
        <v>122</v>
      </c>
      <c r="K32" s="30" t="s">
        <v>801</v>
      </c>
      <c r="L32" s="32"/>
      <c r="M32" s="13" t="s">
        <v>871</v>
      </c>
      <c r="N32" s="13"/>
    </row>
    <row r="33" customFormat="false" ht="23.85" hidden="false" customHeight="false" outlineLevel="0" collapsed="false">
      <c r="A33" s="13" t="s">
        <v>864</v>
      </c>
      <c r="B33" s="13" t="s">
        <v>872</v>
      </c>
      <c r="C33" s="13" t="s">
        <v>276</v>
      </c>
      <c r="D33" s="13"/>
      <c r="E33" s="13"/>
      <c r="F33" s="13" t="s">
        <v>561</v>
      </c>
      <c r="G33" s="30" t="s">
        <v>363</v>
      </c>
      <c r="H33" s="31" t="n">
        <v>46447</v>
      </c>
      <c r="I33" s="31" t="n">
        <v>46660</v>
      </c>
      <c r="J33" s="30" t="n">
        <f aca="false">IF(AND(H33&lt;&gt;"",I33&lt;&gt;""),I33-H33+1,"")</f>
        <v>214</v>
      </c>
      <c r="K33" s="30" t="s">
        <v>801</v>
      </c>
      <c r="L33" s="32"/>
      <c r="M33" s="13"/>
      <c r="N33" s="13" t="s">
        <v>873</v>
      </c>
    </row>
    <row r="34" customFormat="false" ht="23.85" hidden="false" customHeight="false" outlineLevel="0" collapsed="false">
      <c r="A34" s="13" t="s">
        <v>864</v>
      </c>
      <c r="B34" s="13" t="s">
        <v>874</v>
      </c>
      <c r="C34" s="13" t="s">
        <v>181</v>
      </c>
      <c r="D34" s="13"/>
      <c r="E34" s="13"/>
      <c r="F34" s="13" t="s">
        <v>561</v>
      </c>
      <c r="G34" s="30" t="s">
        <v>363</v>
      </c>
      <c r="H34" s="31" t="n">
        <v>46510</v>
      </c>
      <c r="I34" s="31" t="n">
        <v>46689</v>
      </c>
      <c r="J34" s="30" t="n">
        <f aca="false">IF(AND(H34&lt;&gt;"",I34&lt;&gt;""),I34-H34+1,"")</f>
        <v>180</v>
      </c>
      <c r="K34" s="30" t="s">
        <v>801</v>
      </c>
      <c r="L34" s="32"/>
      <c r="M34" s="13"/>
      <c r="N34" s="13" t="s">
        <v>873</v>
      </c>
    </row>
    <row r="35" customFormat="false" ht="23.85" hidden="false" customHeight="false" outlineLevel="0" collapsed="false">
      <c r="A35" s="13" t="s">
        <v>864</v>
      </c>
      <c r="B35" s="13" t="s">
        <v>875</v>
      </c>
      <c r="C35" s="13" t="s">
        <v>181</v>
      </c>
      <c r="D35" s="13"/>
      <c r="E35" s="13"/>
      <c r="F35" s="13" t="s">
        <v>561</v>
      </c>
      <c r="G35" s="30" t="s">
        <v>363</v>
      </c>
      <c r="H35" s="31" t="n">
        <v>46636</v>
      </c>
      <c r="I35" s="31" t="n">
        <v>46843</v>
      </c>
      <c r="J35" s="30" t="n">
        <f aca="false">IF(AND(H35&lt;&gt;"",I35&lt;&gt;""),I35-H35+1,"")</f>
        <v>208</v>
      </c>
      <c r="K35" s="30" t="s">
        <v>801</v>
      </c>
      <c r="L35" s="32"/>
      <c r="M35" s="13"/>
      <c r="N35" s="13" t="s">
        <v>873</v>
      </c>
    </row>
    <row r="36" customFormat="false" ht="23.85" hidden="false" customHeight="false" outlineLevel="0" collapsed="false">
      <c r="A36" s="13" t="s">
        <v>864</v>
      </c>
      <c r="B36" s="13" t="s">
        <v>876</v>
      </c>
      <c r="C36" s="13" t="s">
        <v>276</v>
      </c>
      <c r="D36" s="13"/>
      <c r="E36" s="13"/>
      <c r="F36" s="13" t="s">
        <v>561</v>
      </c>
      <c r="G36" s="30" t="s">
        <v>363</v>
      </c>
      <c r="H36" s="31" t="n">
        <v>46664</v>
      </c>
      <c r="I36" s="31" t="n">
        <v>46843</v>
      </c>
      <c r="J36" s="30" t="n">
        <f aca="false">IF(AND(H36&lt;&gt;"",I36&lt;&gt;""),I36-H36+1,"")</f>
        <v>180</v>
      </c>
      <c r="K36" s="30" t="s">
        <v>801</v>
      </c>
      <c r="L36" s="32"/>
      <c r="M36" s="13"/>
      <c r="N36" s="13" t="s">
        <v>877</v>
      </c>
    </row>
    <row r="37" customFormat="false" ht="23.85" hidden="false" customHeight="false" outlineLevel="0" collapsed="false">
      <c r="A37" s="13" t="s">
        <v>878</v>
      </c>
      <c r="B37" s="13" t="s">
        <v>879</v>
      </c>
      <c r="C37" s="13" t="s">
        <v>276</v>
      </c>
      <c r="D37" s="13"/>
      <c r="E37" s="13"/>
      <c r="F37" s="13" t="s">
        <v>291</v>
      </c>
      <c r="G37" s="30" t="s">
        <v>363</v>
      </c>
      <c r="H37" s="31" t="n">
        <v>46545</v>
      </c>
      <c r="I37" s="31" t="n">
        <v>46689</v>
      </c>
      <c r="J37" s="30" t="n">
        <f aca="false">IF(AND(H37&lt;&gt;"",I37&lt;&gt;""),I37-H37+1,"")</f>
        <v>145</v>
      </c>
      <c r="K37" s="30" t="s">
        <v>801</v>
      </c>
      <c r="L37" s="32"/>
      <c r="M37" s="13" t="s">
        <v>880</v>
      </c>
      <c r="N37" s="13" t="s">
        <v>881</v>
      </c>
    </row>
    <row r="38" customFormat="false" ht="15" hidden="false" customHeight="false" outlineLevel="0" collapsed="false">
      <c r="A38" s="13" t="s">
        <v>878</v>
      </c>
      <c r="B38" s="13" t="s">
        <v>882</v>
      </c>
      <c r="C38" s="13" t="s">
        <v>276</v>
      </c>
      <c r="D38" s="13"/>
      <c r="E38" s="13"/>
      <c r="F38" s="13" t="s">
        <v>290</v>
      </c>
      <c r="G38" s="30" t="s">
        <v>804</v>
      </c>
      <c r="H38" s="31" t="n">
        <v>46689</v>
      </c>
      <c r="I38" s="31" t="n">
        <v>46689</v>
      </c>
      <c r="J38" s="30" t="n">
        <f aca="false">IF(AND(H38&lt;&gt;"",I38&lt;&gt;""),I38-H38+1,"")</f>
        <v>1</v>
      </c>
      <c r="K38" s="30" t="s">
        <v>801</v>
      </c>
      <c r="L38" s="32"/>
      <c r="M38" s="13"/>
      <c r="N38" s="13"/>
    </row>
    <row r="39" customFormat="false" ht="23.85" hidden="false" customHeight="false" outlineLevel="0" collapsed="false">
      <c r="A39" s="13" t="s">
        <v>878</v>
      </c>
      <c r="B39" s="13" t="s">
        <v>883</v>
      </c>
      <c r="C39" s="13" t="s">
        <v>277</v>
      </c>
      <c r="D39" s="13"/>
      <c r="E39" s="13"/>
      <c r="F39" s="13" t="s">
        <v>291</v>
      </c>
      <c r="G39" s="30" t="s">
        <v>363</v>
      </c>
      <c r="H39" s="31" t="n">
        <v>46636</v>
      </c>
      <c r="I39" s="31" t="n">
        <v>46738</v>
      </c>
      <c r="J39" s="30" t="n">
        <f aca="false">IF(AND(H39&lt;&gt;"",I39&lt;&gt;""),I39-H39+1,"")</f>
        <v>103</v>
      </c>
      <c r="K39" s="30" t="s">
        <v>801</v>
      </c>
      <c r="L39" s="32"/>
      <c r="M39" s="13" t="s">
        <v>880</v>
      </c>
      <c r="N39" s="13"/>
    </row>
    <row r="40" customFormat="false" ht="15" hidden="false" customHeight="false" outlineLevel="0" collapsed="false">
      <c r="A40" s="13" t="s">
        <v>878</v>
      </c>
      <c r="B40" s="13" t="s">
        <v>884</v>
      </c>
      <c r="C40" s="13" t="s">
        <v>277</v>
      </c>
      <c r="D40" s="13"/>
      <c r="E40" s="13"/>
      <c r="F40" s="13" t="s">
        <v>290</v>
      </c>
      <c r="G40" s="30" t="s">
        <v>804</v>
      </c>
      <c r="H40" s="31" t="n">
        <v>46738</v>
      </c>
      <c r="I40" s="31" t="n">
        <v>46738</v>
      </c>
      <c r="J40" s="30" t="n">
        <f aca="false">IF(AND(H40&lt;&gt;"",I40&lt;&gt;""),I40-H40+1,"")</f>
        <v>1</v>
      </c>
      <c r="K40" s="30" t="s">
        <v>801</v>
      </c>
      <c r="L40" s="32"/>
      <c r="M40" s="13"/>
      <c r="N40" s="13"/>
    </row>
    <row r="41" customFormat="false" ht="23.85" hidden="false" customHeight="false" outlineLevel="0" collapsed="false">
      <c r="A41" s="13" t="s">
        <v>878</v>
      </c>
      <c r="B41" s="13" t="s">
        <v>885</v>
      </c>
      <c r="C41" s="13" t="s">
        <v>278</v>
      </c>
      <c r="D41" s="13"/>
      <c r="E41" s="13"/>
      <c r="F41" s="13" t="s">
        <v>291</v>
      </c>
      <c r="G41" s="30" t="s">
        <v>363</v>
      </c>
      <c r="H41" s="31" t="n">
        <v>46664</v>
      </c>
      <c r="I41" s="31" t="n">
        <v>46808</v>
      </c>
      <c r="J41" s="30" t="n">
        <f aca="false">IF(AND(H41&lt;&gt;"",I41&lt;&gt;""),I41-H41+1,"")</f>
        <v>145</v>
      </c>
      <c r="K41" s="30" t="s">
        <v>801</v>
      </c>
      <c r="L41" s="32"/>
      <c r="M41" s="13" t="s">
        <v>880</v>
      </c>
      <c r="N41" s="13" t="s">
        <v>886</v>
      </c>
    </row>
    <row r="42" customFormat="false" ht="15" hidden="false" customHeight="false" outlineLevel="0" collapsed="false">
      <c r="A42" s="13" t="s">
        <v>878</v>
      </c>
      <c r="B42" s="13" t="s">
        <v>887</v>
      </c>
      <c r="C42" s="13" t="s">
        <v>278</v>
      </c>
      <c r="D42" s="13"/>
      <c r="E42" s="13"/>
      <c r="F42" s="13" t="s">
        <v>290</v>
      </c>
      <c r="G42" s="30" t="s">
        <v>804</v>
      </c>
      <c r="H42" s="31" t="n">
        <v>46808</v>
      </c>
      <c r="I42" s="31" t="n">
        <v>46808</v>
      </c>
      <c r="J42" s="30" t="n">
        <f aca="false">IF(AND(H42&lt;&gt;"",I42&lt;&gt;""),I42-H42+1,"")</f>
        <v>1</v>
      </c>
      <c r="K42" s="30" t="s">
        <v>801</v>
      </c>
      <c r="L42" s="32"/>
      <c r="M42" s="13"/>
      <c r="N42" s="13"/>
    </row>
    <row r="43" customFormat="false" ht="23.85" hidden="false" customHeight="false" outlineLevel="0" collapsed="false">
      <c r="A43" s="13" t="s">
        <v>878</v>
      </c>
      <c r="B43" s="13" t="s">
        <v>888</v>
      </c>
      <c r="C43" s="13" t="s">
        <v>280</v>
      </c>
      <c r="D43" s="13"/>
      <c r="E43" s="13"/>
      <c r="F43" s="13" t="s">
        <v>291</v>
      </c>
      <c r="G43" s="30" t="s">
        <v>363</v>
      </c>
      <c r="H43" s="31" t="n">
        <v>46762</v>
      </c>
      <c r="I43" s="31" t="n">
        <v>46899</v>
      </c>
      <c r="J43" s="30" t="n">
        <f aca="false">IF(AND(H43&lt;&gt;"",I43&lt;&gt;""),I43-H43+1,"")</f>
        <v>138</v>
      </c>
      <c r="K43" s="30" t="s">
        <v>801</v>
      </c>
      <c r="L43" s="32"/>
      <c r="M43" s="13" t="s">
        <v>880</v>
      </c>
      <c r="N43" s="13" t="s">
        <v>889</v>
      </c>
    </row>
    <row r="44" customFormat="false" ht="15" hidden="false" customHeight="false" outlineLevel="0" collapsed="false">
      <c r="A44" s="13" t="s">
        <v>878</v>
      </c>
      <c r="B44" s="13" t="s">
        <v>890</v>
      </c>
      <c r="C44" s="13" t="s">
        <v>280</v>
      </c>
      <c r="D44" s="13"/>
      <c r="E44" s="13"/>
      <c r="F44" s="13" t="s">
        <v>290</v>
      </c>
      <c r="G44" s="30" t="s">
        <v>804</v>
      </c>
      <c r="H44" s="31" t="n">
        <v>46899</v>
      </c>
      <c r="I44" s="31" t="n">
        <v>46899</v>
      </c>
      <c r="J44" s="30" t="n">
        <f aca="false">IF(AND(H44&lt;&gt;"",I44&lt;&gt;""),I44-H44+1,"")</f>
        <v>1</v>
      </c>
      <c r="K44" s="30" t="s">
        <v>801</v>
      </c>
      <c r="L44" s="32"/>
      <c r="M44" s="13"/>
      <c r="N44" s="13"/>
    </row>
    <row r="45" customFormat="false" ht="23.85" hidden="false" customHeight="false" outlineLevel="0" collapsed="false">
      <c r="A45" s="13" t="s">
        <v>891</v>
      </c>
      <c r="B45" s="13" t="s">
        <v>892</v>
      </c>
      <c r="C45" s="13" t="s">
        <v>800</v>
      </c>
      <c r="D45" s="13"/>
      <c r="E45" s="13"/>
      <c r="F45" s="13" t="s">
        <v>291</v>
      </c>
      <c r="G45" s="30" t="s">
        <v>363</v>
      </c>
      <c r="H45" s="31" t="n">
        <v>46569</v>
      </c>
      <c r="I45" s="31" t="n">
        <v>46934</v>
      </c>
      <c r="J45" s="30" t="n">
        <f aca="false">IF(AND(H45&lt;&gt;"",I45&lt;&gt;""),I45-H45+1,"")</f>
        <v>366</v>
      </c>
      <c r="K45" s="30" t="s">
        <v>801</v>
      </c>
      <c r="L45" s="32"/>
      <c r="M45" s="13" t="s">
        <v>893</v>
      </c>
      <c r="N45" s="13"/>
    </row>
    <row r="46" customFormat="false" ht="15" hidden="false" customHeight="false" outlineLevel="0" collapsed="false">
      <c r="A46" s="13" t="s">
        <v>891</v>
      </c>
      <c r="B46" s="13" t="s">
        <v>894</v>
      </c>
      <c r="C46" s="13" t="s">
        <v>800</v>
      </c>
      <c r="D46" s="13"/>
      <c r="E46" s="13"/>
      <c r="F46" s="13" t="s">
        <v>290</v>
      </c>
      <c r="G46" s="30" t="s">
        <v>363</v>
      </c>
      <c r="H46" s="31" t="n">
        <v>46722</v>
      </c>
      <c r="I46" s="31" t="n">
        <v>46780</v>
      </c>
      <c r="J46" s="30" t="n">
        <f aca="false">IF(AND(H46&lt;&gt;"",I46&lt;&gt;""),I46-H46+1,"")</f>
        <v>59</v>
      </c>
      <c r="K46" s="30" t="s">
        <v>801</v>
      </c>
      <c r="L46" s="32"/>
      <c r="M46" s="13" t="s">
        <v>895</v>
      </c>
      <c r="N46" s="13"/>
    </row>
    <row r="47" customFormat="false" ht="15" hidden="false" customHeight="false" outlineLevel="0" collapsed="false">
      <c r="A47" s="13" t="s">
        <v>891</v>
      </c>
      <c r="B47" s="13" t="s">
        <v>896</v>
      </c>
      <c r="C47" s="13" t="s">
        <v>800</v>
      </c>
      <c r="D47" s="13"/>
      <c r="E47" s="13"/>
      <c r="F47" s="13" t="s">
        <v>290</v>
      </c>
      <c r="G47" s="30" t="s">
        <v>804</v>
      </c>
      <c r="H47" s="31" t="n">
        <v>46934</v>
      </c>
      <c r="I47" s="31" t="n">
        <v>46934</v>
      </c>
      <c r="J47" s="30" t="n">
        <f aca="false">IF(AND(H47&lt;&gt;"",I47&lt;&gt;""),I47-H47+1,"")</f>
        <v>1</v>
      </c>
      <c r="K47" s="30" t="s">
        <v>801</v>
      </c>
      <c r="L47" s="32"/>
      <c r="M47" s="13"/>
      <c r="N47" s="13"/>
    </row>
  </sheetData>
  <autoFilter ref="A1:N47"/>
  <conditionalFormatting sqref="A2:A47">
    <cfRule type="expression" priority="2" aboveAverage="0" equalAverage="0" bottom="0" percent="0" rank="0" text="" dxfId="14">
      <formula>$A2="1 · Gobierno y estándares"</formula>
    </cfRule>
    <cfRule type="expression" priority="3" aboveAverage="0" equalAverage="0" bottom="0" percent="0" rank="0" text="" dxfId="15">
      <formula>$A2="2 · Piloto Ondupet"</formula>
    </cfRule>
    <cfRule type="expression" priority="4" aboveAverage="0" equalAverage="0" bottom="0" percent="0" rank="0" text="" dxfId="16">
      <formula>$A2="3 · Sistemas y herramientas"</formula>
    </cfRule>
    <cfRule type="expression" priority="5" aboveAverage="0" equalAverage="0" bottom="0" percent="0" rank="0" text="" dxfId="17">
      <formula>$A2="4 · Despliegue en plantas"</formula>
    </cfRule>
    <cfRule type="expression" priority="6" aboveAverage="0" equalAverage="0" bottom="0" percent="0" rank="0" text="" dxfId="18">
      <formula>$A2="5 · Consolidación"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8C9EB"/>
    <pageSetUpPr fitToPage="true"/>
  </sheetPr>
  <dimension ref="A1:X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4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6" min="5" style="0" width="9"/>
    <col collapsed="false" customWidth="true" hidden="false" outlineLevel="0" max="24" min="7" style="0" width="5.2"/>
  </cols>
  <sheetData>
    <row r="1" customFormat="false" ht="17.35" hidden="false" customHeight="false" outlineLevel="0" collapsed="false">
      <c r="A1" s="14" t="s">
        <v>897</v>
      </c>
    </row>
    <row r="2" customFormat="false" ht="15" hidden="false" customHeight="false" outlineLevel="0" collapsed="false">
      <c r="A2" s="15" t="s">
        <v>898</v>
      </c>
    </row>
    <row r="3" customFormat="false" ht="15" hidden="false" customHeight="false" outlineLevel="0" collapsed="false">
      <c r="G3" s="33" t="s">
        <v>899</v>
      </c>
      <c r="H3" s="33"/>
      <c r="I3" s="33"/>
      <c r="J3" s="33" t="s">
        <v>900</v>
      </c>
      <c r="K3" s="33"/>
      <c r="L3" s="33"/>
      <c r="M3" s="33" t="s">
        <v>901</v>
      </c>
      <c r="N3" s="33"/>
      <c r="O3" s="33"/>
      <c r="P3" s="33" t="s">
        <v>902</v>
      </c>
      <c r="Q3" s="33"/>
      <c r="R3" s="33"/>
      <c r="S3" s="33" t="s">
        <v>903</v>
      </c>
      <c r="T3" s="33"/>
      <c r="U3" s="33"/>
      <c r="V3" s="33" t="s">
        <v>904</v>
      </c>
      <c r="W3" s="33"/>
      <c r="X3" s="33"/>
    </row>
    <row r="4" customFormat="false" ht="15" hidden="false" customHeight="false" outlineLevel="0" collapsed="false">
      <c r="A4" s="16" t="s">
        <v>790</v>
      </c>
      <c r="B4" s="16" t="s">
        <v>791</v>
      </c>
      <c r="C4" s="16" t="s">
        <v>66</v>
      </c>
      <c r="D4" s="16" t="s">
        <v>355</v>
      </c>
      <c r="E4" s="16" t="s">
        <v>793</v>
      </c>
      <c r="F4" s="16" t="s">
        <v>794</v>
      </c>
      <c r="G4" s="34" t="n">
        <v>46388</v>
      </c>
      <c r="H4" s="35" t="n">
        <v>46419</v>
      </c>
      <c r="I4" s="35" t="n">
        <v>46447</v>
      </c>
      <c r="J4" s="34" t="n">
        <v>46478</v>
      </c>
      <c r="K4" s="35" t="n">
        <v>46508</v>
      </c>
      <c r="L4" s="35" t="n">
        <v>46539</v>
      </c>
      <c r="M4" s="34" t="n">
        <v>46569</v>
      </c>
      <c r="N4" s="35" t="n">
        <v>46600</v>
      </c>
      <c r="O4" s="35" t="n">
        <v>46631</v>
      </c>
      <c r="P4" s="34" t="n">
        <v>46661</v>
      </c>
      <c r="Q4" s="35" t="n">
        <v>46692</v>
      </c>
      <c r="R4" s="35" t="n">
        <v>46722</v>
      </c>
      <c r="S4" s="34" t="n">
        <v>46753</v>
      </c>
      <c r="T4" s="35" t="n">
        <v>46784</v>
      </c>
      <c r="U4" s="35" t="n">
        <v>46813</v>
      </c>
      <c r="V4" s="34" t="n">
        <v>46844</v>
      </c>
      <c r="W4" s="35" t="n">
        <v>46874</v>
      </c>
      <c r="X4" s="35" t="n">
        <v>46905</v>
      </c>
    </row>
    <row r="5" customFormat="false" ht="15" hidden="false" customHeight="false" outlineLevel="0" collapsed="false">
      <c r="A5" s="36" t="str">
        <f aca="false">IF(Plan!A2="","",Plan!A2)</f>
        <v>1 · Gobierno y estándares</v>
      </c>
      <c r="B5" s="36" t="str">
        <f aca="false">IF(Plan!B2="","",Plan!B2)</f>
        <v>Arranque y aprobación del modelo: roles, RACI to-be y calendario</v>
      </c>
      <c r="C5" s="36" t="str">
        <f aca="false">IF(Plan!C2="","",Plan!C2)</f>
        <v>Grupo (todas)</v>
      </c>
      <c r="D5" s="36" t="str">
        <f aca="false">IF(Plan!F2="","",Plan!F2)</f>
        <v>Director/a de Planificación</v>
      </c>
      <c r="E5" s="37" t="n">
        <f aca="false">IF(Plan!H2="","",Plan!H2)</f>
        <v>46398</v>
      </c>
      <c r="F5" s="37" t="n">
        <f aca="false">IF(Plan!I2="","",Plan!I2)</f>
        <v>46416</v>
      </c>
      <c r="G5" s="38" t="n">
        <f aca="false">IF(OR($E5="",$F5=""),"",IF(AND($E5&lt;=EOMONTH(G$4,0),$F5&gt;=G$4),IF(Plan!$G2="Hito","◆",1),""))</f>
        <v>1</v>
      </c>
      <c r="H5" s="38" t="str">
        <f aca="false">IF(OR($E5="",$F5=""),"",IF(AND($E5&lt;=EOMONTH(H$4,0),$F5&gt;=H$4),IF(Plan!$G2="Hito","◆",1),""))</f>
        <v/>
      </c>
      <c r="I5" s="38" t="str">
        <f aca="false">IF(OR($E5="",$F5=""),"",IF(AND($E5&lt;=EOMONTH(I$4,0),$F5&gt;=I$4),IF(Plan!$G2="Hito","◆",1),""))</f>
        <v/>
      </c>
      <c r="J5" s="38" t="str">
        <f aca="false">IF(OR($E5="",$F5=""),"",IF(AND($E5&lt;=EOMONTH(J$4,0),$F5&gt;=J$4),IF(Plan!$G2="Hito","◆",1),""))</f>
        <v/>
      </c>
      <c r="K5" s="38" t="str">
        <f aca="false">IF(OR($E5="",$F5=""),"",IF(AND($E5&lt;=EOMONTH(K$4,0),$F5&gt;=K$4),IF(Plan!$G2="Hito","◆",1),""))</f>
        <v/>
      </c>
      <c r="L5" s="38" t="str">
        <f aca="false">IF(OR($E5="",$F5=""),"",IF(AND($E5&lt;=EOMONTH(L$4,0),$F5&gt;=L$4),IF(Plan!$G2="Hito","◆",1),""))</f>
        <v/>
      </c>
      <c r="M5" s="38" t="str">
        <f aca="false">IF(OR($E5="",$F5=""),"",IF(AND($E5&lt;=EOMONTH(M$4,0),$F5&gt;=M$4),IF(Plan!$G2="Hito","◆",1),""))</f>
        <v/>
      </c>
      <c r="N5" s="38" t="str">
        <f aca="false">IF(OR($E5="",$F5=""),"",IF(AND($E5&lt;=EOMONTH(N$4,0),$F5&gt;=N$4),IF(Plan!$G2="Hito","◆",1),""))</f>
        <v/>
      </c>
      <c r="O5" s="38" t="str">
        <f aca="false">IF(OR($E5="",$F5=""),"",IF(AND($E5&lt;=EOMONTH(O$4,0),$F5&gt;=O$4),IF(Plan!$G2="Hito","◆",1),""))</f>
        <v/>
      </c>
      <c r="P5" s="38" t="str">
        <f aca="false">IF(OR($E5="",$F5=""),"",IF(AND($E5&lt;=EOMONTH(P$4,0),$F5&gt;=P$4),IF(Plan!$G2="Hito","◆",1),""))</f>
        <v/>
      </c>
      <c r="Q5" s="38" t="str">
        <f aca="false">IF(OR($E5="",$F5=""),"",IF(AND($E5&lt;=EOMONTH(Q$4,0),$F5&gt;=Q$4),IF(Plan!$G2="Hito","◆",1),""))</f>
        <v/>
      </c>
      <c r="R5" s="38" t="str">
        <f aca="false">IF(OR($E5="",$F5=""),"",IF(AND($E5&lt;=EOMONTH(R$4,0),$F5&gt;=R$4),IF(Plan!$G2="Hito","◆",1),""))</f>
        <v/>
      </c>
      <c r="S5" s="38" t="str">
        <f aca="false">IF(OR($E5="",$F5=""),"",IF(AND($E5&lt;=EOMONTH(S$4,0),$F5&gt;=S$4),IF(Plan!$G2="Hito","◆",1),""))</f>
        <v/>
      </c>
      <c r="T5" s="38" t="str">
        <f aca="false">IF(OR($E5="",$F5=""),"",IF(AND($E5&lt;=EOMONTH(T$4,0),$F5&gt;=T$4),IF(Plan!$G2="Hito","◆",1),""))</f>
        <v/>
      </c>
      <c r="U5" s="38" t="str">
        <f aca="false">IF(OR($E5="",$F5=""),"",IF(AND($E5&lt;=EOMONTH(U$4,0),$F5&gt;=U$4),IF(Plan!$G2="Hito","◆",1),""))</f>
        <v/>
      </c>
      <c r="V5" s="38" t="str">
        <f aca="false">IF(OR($E5="",$F5=""),"",IF(AND($E5&lt;=EOMONTH(V$4,0),$F5&gt;=V$4),IF(Plan!$G2="Hito","◆",1),""))</f>
        <v/>
      </c>
      <c r="W5" s="38" t="str">
        <f aca="false">IF(OR($E5="",$F5=""),"",IF(AND($E5&lt;=EOMONTH(W$4,0),$F5&gt;=W$4),IF(Plan!$G2="Hito","◆",1),""))</f>
        <v/>
      </c>
      <c r="X5" s="38" t="str">
        <f aca="false">IF(OR($E5="",$F5=""),"",IF(AND($E5&lt;=EOMONTH(X$4,0),$F5&gt;=X$4),IF(Plan!$G2="Hito","◆",1),""))</f>
        <v/>
      </c>
    </row>
    <row r="6" customFormat="false" ht="15" hidden="false" customHeight="false" outlineLevel="0" collapsed="false">
      <c r="A6" s="36" t="str">
        <f aca="false">IF(Plan!A3="","",Plan!A3)</f>
        <v>1 · Gobierno y estándares</v>
      </c>
      <c r="B6" s="36" t="str">
        <f aca="false">IF(Plan!B3="","",Plan!B3)</f>
        <v>Modelo aprobado por dirección</v>
      </c>
      <c r="C6" s="36" t="str">
        <f aca="false">IF(Plan!C3="","",Plan!C3)</f>
        <v>Grupo (todas)</v>
      </c>
      <c r="D6" s="36" t="str">
        <f aca="false">IF(Plan!F3="","",Plan!F3)</f>
        <v>Director/a de Planificación</v>
      </c>
      <c r="E6" s="37" t="n">
        <f aca="false">IF(Plan!H3="","",Plan!H3)</f>
        <v>46416</v>
      </c>
      <c r="F6" s="37" t="n">
        <f aca="false">IF(Plan!I3="","",Plan!I3)</f>
        <v>46416</v>
      </c>
      <c r="G6" s="38" t="str">
        <f aca="false">IF(OR($E6="",$F6=""),"",IF(AND($E6&lt;=EOMONTH(G$4,0),$F6&gt;=G$4),IF(Plan!$G3="Hito","◆",1),""))</f>
        <v>◆</v>
      </c>
      <c r="H6" s="38" t="str">
        <f aca="false">IF(OR($E6="",$F6=""),"",IF(AND($E6&lt;=EOMONTH(H$4,0),$F6&gt;=H$4),IF(Plan!$G3="Hito","◆",1),""))</f>
        <v/>
      </c>
      <c r="I6" s="38" t="str">
        <f aca="false">IF(OR($E6="",$F6=""),"",IF(AND($E6&lt;=EOMONTH(I$4,0),$F6&gt;=I$4),IF(Plan!$G3="Hito","◆",1),""))</f>
        <v/>
      </c>
      <c r="J6" s="38" t="str">
        <f aca="false">IF(OR($E6="",$F6=""),"",IF(AND($E6&lt;=EOMONTH(J$4,0),$F6&gt;=J$4),IF(Plan!$G3="Hito","◆",1),""))</f>
        <v/>
      </c>
      <c r="K6" s="38" t="str">
        <f aca="false">IF(OR($E6="",$F6=""),"",IF(AND($E6&lt;=EOMONTH(K$4,0),$F6&gt;=K$4),IF(Plan!$G3="Hito","◆",1),""))</f>
        <v/>
      </c>
      <c r="L6" s="38" t="str">
        <f aca="false">IF(OR($E6="",$F6=""),"",IF(AND($E6&lt;=EOMONTH(L$4,0),$F6&gt;=L$4),IF(Plan!$G3="Hito","◆",1),""))</f>
        <v/>
      </c>
      <c r="M6" s="38" t="str">
        <f aca="false">IF(OR($E6="",$F6=""),"",IF(AND($E6&lt;=EOMONTH(M$4,0),$F6&gt;=M$4),IF(Plan!$G3="Hito","◆",1),""))</f>
        <v/>
      </c>
      <c r="N6" s="38" t="str">
        <f aca="false">IF(OR($E6="",$F6=""),"",IF(AND($E6&lt;=EOMONTH(N$4,0),$F6&gt;=N$4),IF(Plan!$G3="Hito","◆",1),""))</f>
        <v/>
      </c>
      <c r="O6" s="38" t="str">
        <f aca="false">IF(OR($E6="",$F6=""),"",IF(AND($E6&lt;=EOMONTH(O$4,0),$F6&gt;=O$4),IF(Plan!$G3="Hito","◆",1),""))</f>
        <v/>
      </c>
      <c r="P6" s="38" t="str">
        <f aca="false">IF(OR($E6="",$F6=""),"",IF(AND($E6&lt;=EOMONTH(P$4,0),$F6&gt;=P$4),IF(Plan!$G3="Hito","◆",1),""))</f>
        <v/>
      </c>
      <c r="Q6" s="38" t="str">
        <f aca="false">IF(OR($E6="",$F6=""),"",IF(AND($E6&lt;=EOMONTH(Q$4,0),$F6&gt;=Q$4),IF(Plan!$G3="Hito","◆",1),""))</f>
        <v/>
      </c>
      <c r="R6" s="38" t="str">
        <f aca="false">IF(OR($E6="",$F6=""),"",IF(AND($E6&lt;=EOMONTH(R$4,0),$F6&gt;=R$4),IF(Plan!$G3="Hito","◆",1),""))</f>
        <v/>
      </c>
      <c r="S6" s="38" t="str">
        <f aca="false">IF(OR($E6="",$F6=""),"",IF(AND($E6&lt;=EOMONTH(S$4,0),$F6&gt;=S$4),IF(Plan!$G3="Hito","◆",1),""))</f>
        <v/>
      </c>
      <c r="T6" s="38" t="str">
        <f aca="false">IF(OR($E6="",$F6=""),"",IF(AND($E6&lt;=EOMONTH(T$4,0),$F6&gt;=T$4),IF(Plan!$G3="Hito","◆",1),""))</f>
        <v/>
      </c>
      <c r="U6" s="38" t="str">
        <f aca="false">IF(OR($E6="",$F6=""),"",IF(AND($E6&lt;=EOMONTH(U$4,0),$F6&gt;=U$4),IF(Plan!$G3="Hito","◆",1),""))</f>
        <v/>
      </c>
      <c r="V6" s="38" t="str">
        <f aca="false">IF(OR($E6="",$F6=""),"",IF(AND($E6&lt;=EOMONTH(V$4,0),$F6&gt;=V$4),IF(Plan!$G3="Hito","◆",1),""))</f>
        <v/>
      </c>
      <c r="W6" s="38" t="str">
        <f aca="false">IF(OR($E6="",$F6=""),"",IF(AND($E6&lt;=EOMONTH(W$4,0),$F6&gt;=W$4),IF(Plan!$G3="Hito","◆",1),""))</f>
        <v/>
      </c>
      <c r="X6" s="38" t="str">
        <f aca="false">IF(OR($E6="",$F6=""),"",IF(AND($E6&lt;=EOMONTH(X$4,0),$F6&gt;=X$4),IF(Plan!$G3="Hito","◆",1),""))</f>
        <v/>
      </c>
    </row>
    <row r="7" customFormat="false" ht="15" hidden="false" customHeight="false" outlineLevel="0" collapsed="false">
      <c r="A7" s="36" t="str">
        <f aca="false">IF(Plan!A4="","",Plan!A4)</f>
        <v>1 · Gobierno y estándares</v>
      </c>
      <c r="B7" s="36" t="str">
        <f aca="false">IF(Plan!B4="","",Plan!B4)</f>
        <v>Revisar el catálogo de actividades (fusionar 4.4 en 4.1)</v>
      </c>
      <c r="C7" s="36" t="str">
        <f aca="false">IF(Plan!C4="","",Plan!C4)</f>
        <v>Grupo (todas)</v>
      </c>
      <c r="D7" s="36" t="str">
        <f aca="false">IF(Plan!F4="","",Plan!F4)</f>
        <v>Responsable de procesos (Functional Lead)</v>
      </c>
      <c r="E7" s="37" t="n">
        <f aca="false">IF(Plan!H4="","",Plan!H4)</f>
        <v>46398</v>
      </c>
      <c r="F7" s="37" t="n">
        <f aca="false">IF(Plan!I4="","",Plan!I4)</f>
        <v>46409</v>
      </c>
      <c r="G7" s="38" t="n">
        <f aca="false">IF(OR($E7="",$F7=""),"",IF(AND($E7&lt;=EOMONTH(G$4,0),$F7&gt;=G$4),IF(Plan!$G4="Hito","◆",1),""))</f>
        <v>1</v>
      </c>
      <c r="H7" s="38" t="str">
        <f aca="false">IF(OR($E7="",$F7=""),"",IF(AND($E7&lt;=EOMONTH(H$4,0),$F7&gt;=H$4),IF(Plan!$G4="Hito","◆",1),""))</f>
        <v/>
      </c>
      <c r="I7" s="38" t="str">
        <f aca="false">IF(OR($E7="",$F7=""),"",IF(AND($E7&lt;=EOMONTH(I$4,0),$F7&gt;=I$4),IF(Plan!$G4="Hito","◆",1),""))</f>
        <v/>
      </c>
      <c r="J7" s="38" t="str">
        <f aca="false">IF(OR($E7="",$F7=""),"",IF(AND($E7&lt;=EOMONTH(J$4,0),$F7&gt;=J$4),IF(Plan!$G4="Hito","◆",1),""))</f>
        <v/>
      </c>
      <c r="K7" s="38" t="str">
        <f aca="false">IF(OR($E7="",$F7=""),"",IF(AND($E7&lt;=EOMONTH(K$4,0),$F7&gt;=K$4),IF(Plan!$G4="Hito","◆",1),""))</f>
        <v/>
      </c>
      <c r="L7" s="38" t="str">
        <f aca="false">IF(OR($E7="",$F7=""),"",IF(AND($E7&lt;=EOMONTH(L$4,0),$F7&gt;=L$4),IF(Plan!$G4="Hito","◆",1),""))</f>
        <v/>
      </c>
      <c r="M7" s="38" t="str">
        <f aca="false">IF(OR($E7="",$F7=""),"",IF(AND($E7&lt;=EOMONTH(M$4,0),$F7&gt;=M$4),IF(Plan!$G4="Hito","◆",1),""))</f>
        <v/>
      </c>
      <c r="N7" s="38" t="str">
        <f aca="false">IF(OR($E7="",$F7=""),"",IF(AND($E7&lt;=EOMONTH(N$4,0),$F7&gt;=N$4),IF(Plan!$G4="Hito","◆",1),""))</f>
        <v/>
      </c>
      <c r="O7" s="38" t="str">
        <f aca="false">IF(OR($E7="",$F7=""),"",IF(AND($E7&lt;=EOMONTH(O$4,0),$F7&gt;=O$4),IF(Plan!$G4="Hito","◆",1),""))</f>
        <v/>
      </c>
      <c r="P7" s="38" t="str">
        <f aca="false">IF(OR($E7="",$F7=""),"",IF(AND($E7&lt;=EOMONTH(P$4,0),$F7&gt;=P$4),IF(Plan!$G4="Hito","◆",1),""))</f>
        <v/>
      </c>
      <c r="Q7" s="38" t="str">
        <f aca="false">IF(OR($E7="",$F7=""),"",IF(AND($E7&lt;=EOMONTH(Q$4,0),$F7&gt;=Q$4),IF(Plan!$G4="Hito","◆",1),""))</f>
        <v/>
      </c>
      <c r="R7" s="38" t="str">
        <f aca="false">IF(OR($E7="",$F7=""),"",IF(AND($E7&lt;=EOMONTH(R$4,0),$F7&gt;=R$4),IF(Plan!$G4="Hito","◆",1),""))</f>
        <v/>
      </c>
      <c r="S7" s="38" t="str">
        <f aca="false">IF(OR($E7="",$F7=""),"",IF(AND($E7&lt;=EOMONTH(S$4,0),$F7&gt;=S$4),IF(Plan!$G4="Hito","◆",1),""))</f>
        <v/>
      </c>
      <c r="T7" s="38" t="str">
        <f aca="false">IF(OR($E7="",$F7=""),"",IF(AND($E7&lt;=EOMONTH(T$4,0),$F7&gt;=T$4),IF(Plan!$G4="Hito","◆",1),""))</f>
        <v/>
      </c>
      <c r="U7" s="38" t="str">
        <f aca="false">IF(OR($E7="",$F7=""),"",IF(AND($E7&lt;=EOMONTH(U$4,0),$F7&gt;=U$4),IF(Plan!$G4="Hito","◆",1),""))</f>
        <v/>
      </c>
      <c r="V7" s="38" t="str">
        <f aca="false">IF(OR($E7="",$F7=""),"",IF(AND($E7&lt;=EOMONTH(V$4,0),$F7&gt;=V$4),IF(Plan!$G4="Hito","◆",1),""))</f>
        <v/>
      </c>
      <c r="W7" s="38" t="str">
        <f aca="false">IF(OR($E7="",$F7=""),"",IF(AND($E7&lt;=EOMONTH(W$4,0),$F7&gt;=W$4),IF(Plan!$G4="Hito","◆",1),""))</f>
        <v/>
      </c>
      <c r="X7" s="38" t="str">
        <f aca="false">IF(OR($E7="",$F7=""),"",IF(AND($E7&lt;=EOMONTH(X$4,0),$F7&gt;=X$4),IF(Plan!$G4="Hito","◆",1),""))</f>
        <v/>
      </c>
    </row>
    <row r="8" customFormat="false" ht="15" hidden="false" customHeight="false" outlineLevel="0" collapsed="false">
      <c r="A8" s="36" t="str">
        <f aca="false">IF(Plan!A5="","",Plan!A5)</f>
        <v>1 · Gobierno y estándares</v>
      </c>
      <c r="B8" s="36" t="str">
        <f aca="false">IF(Plan!B5="","",Plan!B5)</f>
        <v>Nombrar titulares y suplentes por rol en cada planta</v>
      </c>
      <c r="C8" s="36" t="str">
        <f aca="false">IF(Plan!C5="","",Plan!C5)</f>
        <v>Grupo (todas)</v>
      </c>
      <c r="D8" s="36" t="str">
        <f aca="false">IF(Plan!F5="","",Plan!F5)</f>
        <v>Director/a de Planificación</v>
      </c>
      <c r="E8" s="37" t="n">
        <f aca="false">IF(Plan!H5="","",Plan!H5)</f>
        <v>46405</v>
      </c>
      <c r="F8" s="37" t="n">
        <f aca="false">IF(Plan!I5="","",Plan!I5)</f>
        <v>46430</v>
      </c>
      <c r="G8" s="38" t="n">
        <f aca="false">IF(OR($E8="",$F8=""),"",IF(AND($E8&lt;=EOMONTH(G$4,0),$F8&gt;=G$4),IF(Plan!$G5="Hito","◆",1),""))</f>
        <v>1</v>
      </c>
      <c r="H8" s="38" t="n">
        <f aca="false">IF(OR($E8="",$F8=""),"",IF(AND($E8&lt;=EOMONTH(H$4,0),$F8&gt;=H$4),IF(Plan!$G5="Hito","◆",1),""))</f>
        <v>1</v>
      </c>
      <c r="I8" s="38" t="str">
        <f aca="false">IF(OR($E8="",$F8=""),"",IF(AND($E8&lt;=EOMONTH(I$4,0),$F8&gt;=I$4),IF(Plan!$G5="Hito","◆",1),""))</f>
        <v/>
      </c>
      <c r="J8" s="38" t="str">
        <f aca="false">IF(OR($E8="",$F8=""),"",IF(AND($E8&lt;=EOMONTH(J$4,0),$F8&gt;=J$4),IF(Plan!$G5="Hito","◆",1),""))</f>
        <v/>
      </c>
      <c r="K8" s="38" t="str">
        <f aca="false">IF(OR($E8="",$F8=""),"",IF(AND($E8&lt;=EOMONTH(K$4,0),$F8&gt;=K$4),IF(Plan!$G5="Hito","◆",1),""))</f>
        <v/>
      </c>
      <c r="L8" s="38" t="str">
        <f aca="false">IF(OR($E8="",$F8=""),"",IF(AND($E8&lt;=EOMONTH(L$4,0),$F8&gt;=L$4),IF(Plan!$G5="Hito","◆",1),""))</f>
        <v/>
      </c>
      <c r="M8" s="38" t="str">
        <f aca="false">IF(OR($E8="",$F8=""),"",IF(AND($E8&lt;=EOMONTH(M$4,0),$F8&gt;=M$4),IF(Plan!$G5="Hito","◆",1),""))</f>
        <v/>
      </c>
      <c r="N8" s="38" t="str">
        <f aca="false">IF(OR($E8="",$F8=""),"",IF(AND($E8&lt;=EOMONTH(N$4,0),$F8&gt;=N$4),IF(Plan!$G5="Hito","◆",1),""))</f>
        <v/>
      </c>
      <c r="O8" s="38" t="str">
        <f aca="false">IF(OR($E8="",$F8=""),"",IF(AND($E8&lt;=EOMONTH(O$4,0),$F8&gt;=O$4),IF(Plan!$G5="Hito","◆",1),""))</f>
        <v/>
      </c>
      <c r="P8" s="38" t="str">
        <f aca="false">IF(OR($E8="",$F8=""),"",IF(AND($E8&lt;=EOMONTH(P$4,0),$F8&gt;=P$4),IF(Plan!$G5="Hito","◆",1),""))</f>
        <v/>
      </c>
      <c r="Q8" s="38" t="str">
        <f aca="false">IF(OR($E8="",$F8=""),"",IF(AND($E8&lt;=EOMONTH(Q$4,0),$F8&gt;=Q$4),IF(Plan!$G5="Hito","◆",1),""))</f>
        <v/>
      </c>
      <c r="R8" s="38" t="str">
        <f aca="false">IF(OR($E8="",$F8=""),"",IF(AND($E8&lt;=EOMONTH(R$4,0),$F8&gt;=R$4),IF(Plan!$G5="Hito","◆",1),""))</f>
        <v/>
      </c>
      <c r="S8" s="38" t="str">
        <f aca="false">IF(OR($E8="",$F8=""),"",IF(AND($E8&lt;=EOMONTH(S$4,0),$F8&gt;=S$4),IF(Plan!$G5="Hito","◆",1),""))</f>
        <v/>
      </c>
      <c r="T8" s="38" t="str">
        <f aca="false">IF(OR($E8="",$F8=""),"",IF(AND($E8&lt;=EOMONTH(T$4,0),$F8&gt;=T$4),IF(Plan!$G5="Hito","◆",1),""))</f>
        <v/>
      </c>
      <c r="U8" s="38" t="str">
        <f aca="false">IF(OR($E8="",$F8=""),"",IF(AND($E8&lt;=EOMONTH(U$4,0),$F8&gt;=U$4),IF(Plan!$G5="Hito","◆",1),""))</f>
        <v/>
      </c>
      <c r="V8" s="38" t="str">
        <f aca="false">IF(OR($E8="",$F8=""),"",IF(AND($E8&lt;=EOMONTH(V$4,0),$F8&gt;=V$4),IF(Plan!$G5="Hito","◆",1),""))</f>
        <v/>
      </c>
      <c r="W8" s="38" t="str">
        <f aca="false">IF(OR($E8="",$F8=""),"",IF(AND($E8&lt;=EOMONTH(W$4,0),$F8&gt;=W$4),IF(Plan!$G5="Hito","◆",1),""))</f>
        <v/>
      </c>
      <c r="X8" s="38" t="str">
        <f aca="false">IF(OR($E8="",$F8=""),"",IF(AND($E8&lt;=EOMONTH(X$4,0),$F8&gt;=X$4),IF(Plan!$G5="Hito","◆",1),""))</f>
        <v/>
      </c>
    </row>
    <row r="9" customFormat="false" ht="15" hidden="false" customHeight="false" outlineLevel="0" collapsed="false">
      <c r="A9" s="36" t="str">
        <f aca="false">IF(Plan!A6="","",Plan!A6)</f>
        <v>1 · Gobierno y estándares</v>
      </c>
      <c r="B9" s="36" t="str">
        <f aca="false">IF(Plan!B6="","",Plan!B6)</f>
        <v>Completar el as-is del resto de plantas (Ondupack, MGT, PDA y Papresa)</v>
      </c>
      <c r="C9" s="36" t="str">
        <f aca="false">IF(Plan!C6="","",Plan!C6)</f>
        <v>Grupo (todas)</v>
      </c>
      <c r="D9" s="36" t="str">
        <f aca="false">IF(Plan!F6="","",Plan!F6)</f>
        <v>Responsable de procesos (Functional Lead)</v>
      </c>
      <c r="E9" s="37" t="n">
        <f aca="false">IF(Plan!H6="","",Plan!H6)</f>
        <v>46398</v>
      </c>
      <c r="F9" s="37" t="n">
        <f aca="false">IF(Plan!I6="","",Plan!I6)</f>
        <v>46444</v>
      </c>
      <c r="G9" s="38" t="n">
        <f aca="false">IF(OR($E9="",$F9=""),"",IF(AND($E9&lt;=EOMONTH(G$4,0),$F9&gt;=G$4),IF(Plan!$G6="Hito","◆",1),""))</f>
        <v>1</v>
      </c>
      <c r="H9" s="38" t="n">
        <f aca="false">IF(OR($E9="",$F9=""),"",IF(AND($E9&lt;=EOMONTH(H$4,0),$F9&gt;=H$4),IF(Plan!$G6="Hito","◆",1),""))</f>
        <v>1</v>
      </c>
      <c r="I9" s="38" t="str">
        <f aca="false">IF(OR($E9="",$F9=""),"",IF(AND($E9&lt;=EOMONTH(I$4,0),$F9&gt;=I$4),IF(Plan!$G6="Hito","◆",1),""))</f>
        <v/>
      </c>
      <c r="J9" s="38" t="str">
        <f aca="false">IF(OR($E9="",$F9=""),"",IF(AND($E9&lt;=EOMONTH(J$4,0),$F9&gt;=J$4),IF(Plan!$G6="Hito","◆",1),""))</f>
        <v/>
      </c>
      <c r="K9" s="38" t="str">
        <f aca="false">IF(OR($E9="",$F9=""),"",IF(AND($E9&lt;=EOMONTH(K$4,0),$F9&gt;=K$4),IF(Plan!$G6="Hito","◆",1),""))</f>
        <v/>
      </c>
      <c r="L9" s="38" t="str">
        <f aca="false">IF(OR($E9="",$F9=""),"",IF(AND($E9&lt;=EOMONTH(L$4,0),$F9&gt;=L$4),IF(Plan!$G6="Hito","◆",1),""))</f>
        <v/>
      </c>
      <c r="M9" s="38" t="str">
        <f aca="false">IF(OR($E9="",$F9=""),"",IF(AND($E9&lt;=EOMONTH(M$4,0),$F9&gt;=M$4),IF(Plan!$G6="Hito","◆",1),""))</f>
        <v/>
      </c>
      <c r="N9" s="38" t="str">
        <f aca="false">IF(OR($E9="",$F9=""),"",IF(AND($E9&lt;=EOMONTH(N$4,0),$F9&gt;=N$4),IF(Plan!$G6="Hito","◆",1),""))</f>
        <v/>
      </c>
      <c r="O9" s="38" t="str">
        <f aca="false">IF(OR($E9="",$F9=""),"",IF(AND($E9&lt;=EOMONTH(O$4,0),$F9&gt;=O$4),IF(Plan!$G6="Hito","◆",1),""))</f>
        <v/>
      </c>
      <c r="P9" s="38" t="str">
        <f aca="false">IF(OR($E9="",$F9=""),"",IF(AND($E9&lt;=EOMONTH(P$4,0),$F9&gt;=P$4),IF(Plan!$G6="Hito","◆",1),""))</f>
        <v/>
      </c>
      <c r="Q9" s="38" t="str">
        <f aca="false">IF(OR($E9="",$F9=""),"",IF(AND($E9&lt;=EOMONTH(Q$4,0),$F9&gt;=Q$4),IF(Plan!$G6="Hito","◆",1),""))</f>
        <v/>
      </c>
      <c r="R9" s="38" t="str">
        <f aca="false">IF(OR($E9="",$F9=""),"",IF(AND($E9&lt;=EOMONTH(R$4,0),$F9&gt;=R$4),IF(Plan!$G6="Hito","◆",1),""))</f>
        <v/>
      </c>
      <c r="S9" s="38" t="str">
        <f aca="false">IF(OR($E9="",$F9=""),"",IF(AND($E9&lt;=EOMONTH(S$4,0),$F9&gt;=S$4),IF(Plan!$G6="Hito","◆",1),""))</f>
        <v/>
      </c>
      <c r="T9" s="38" t="str">
        <f aca="false">IF(OR($E9="",$F9=""),"",IF(AND($E9&lt;=EOMONTH(T$4,0),$F9&gt;=T$4),IF(Plan!$G6="Hito","◆",1),""))</f>
        <v/>
      </c>
      <c r="U9" s="38" t="str">
        <f aca="false">IF(OR($E9="",$F9=""),"",IF(AND($E9&lt;=EOMONTH(U$4,0),$F9&gt;=U$4),IF(Plan!$G6="Hito","◆",1),""))</f>
        <v/>
      </c>
      <c r="V9" s="38" t="str">
        <f aca="false">IF(OR($E9="",$F9=""),"",IF(AND($E9&lt;=EOMONTH(V$4,0),$F9&gt;=V$4),IF(Plan!$G6="Hito","◆",1),""))</f>
        <v/>
      </c>
      <c r="W9" s="38" t="str">
        <f aca="false">IF(OR($E9="",$F9=""),"",IF(AND($E9&lt;=EOMONTH(W$4,0),$F9&gt;=W$4),IF(Plan!$G6="Hito","◆",1),""))</f>
        <v/>
      </c>
      <c r="X9" s="38" t="str">
        <f aca="false">IF(OR($E9="",$F9=""),"",IF(AND($E9&lt;=EOMONTH(X$4,0),$F9&gt;=X$4),IF(Plan!$G6="Hito","◆",1),""))</f>
        <v/>
      </c>
    </row>
    <row r="10" customFormat="false" ht="15" hidden="false" customHeight="false" outlineLevel="0" collapsed="false">
      <c r="A10" s="36" t="str">
        <f aca="false">IF(Plan!A7="","",Plan!A7)</f>
        <v>1 · Gobierno y estándares</v>
      </c>
      <c r="B10" s="36" t="str">
        <f aca="false">IF(Plan!B7="","",Plan!B7)</f>
        <v>Calendario de planificación del grupo: S&amp;OP mensual y reuniones de planta</v>
      </c>
      <c r="C10" s="36" t="str">
        <f aca="false">IF(Plan!C7="","",Plan!C7)</f>
        <v>Grupo (todas)</v>
      </c>
      <c r="D10" s="36" t="str">
        <f aca="false">IF(Plan!F7="","",Plan!F7)</f>
        <v>Coordinador/a de S&amp;OP e intercompany</v>
      </c>
      <c r="E10" s="37" t="n">
        <f aca="false">IF(Plan!H7="","",Plan!H7)</f>
        <v>46419</v>
      </c>
      <c r="F10" s="37" t="n">
        <f aca="false">IF(Plan!I7="","",Plan!I7)</f>
        <v>46444</v>
      </c>
      <c r="G10" s="38" t="str">
        <f aca="false">IF(OR($E10="",$F10=""),"",IF(AND($E10&lt;=EOMONTH(G$4,0),$F10&gt;=G$4),IF(Plan!$G7="Hito","◆",1),""))</f>
        <v/>
      </c>
      <c r="H10" s="38" t="n">
        <f aca="false">IF(OR($E10="",$F10=""),"",IF(AND($E10&lt;=EOMONTH(H$4,0),$F10&gt;=H$4),IF(Plan!$G7="Hito","◆",1),""))</f>
        <v>1</v>
      </c>
      <c r="I10" s="38" t="str">
        <f aca="false">IF(OR($E10="",$F10=""),"",IF(AND($E10&lt;=EOMONTH(I$4,0),$F10&gt;=I$4),IF(Plan!$G7="Hito","◆",1),""))</f>
        <v/>
      </c>
      <c r="J10" s="38" t="str">
        <f aca="false">IF(OR($E10="",$F10=""),"",IF(AND($E10&lt;=EOMONTH(J$4,0),$F10&gt;=J$4),IF(Plan!$G7="Hito","◆",1),""))</f>
        <v/>
      </c>
      <c r="K10" s="38" t="str">
        <f aca="false">IF(OR($E10="",$F10=""),"",IF(AND($E10&lt;=EOMONTH(K$4,0),$F10&gt;=K$4),IF(Plan!$G7="Hito","◆",1),""))</f>
        <v/>
      </c>
      <c r="L10" s="38" t="str">
        <f aca="false">IF(OR($E10="",$F10=""),"",IF(AND($E10&lt;=EOMONTH(L$4,0),$F10&gt;=L$4),IF(Plan!$G7="Hito","◆",1),""))</f>
        <v/>
      </c>
      <c r="M10" s="38" t="str">
        <f aca="false">IF(OR($E10="",$F10=""),"",IF(AND($E10&lt;=EOMONTH(M$4,0),$F10&gt;=M$4),IF(Plan!$G7="Hito","◆",1),""))</f>
        <v/>
      </c>
      <c r="N10" s="38" t="str">
        <f aca="false">IF(OR($E10="",$F10=""),"",IF(AND($E10&lt;=EOMONTH(N$4,0),$F10&gt;=N$4),IF(Plan!$G7="Hito","◆",1),""))</f>
        <v/>
      </c>
      <c r="O10" s="38" t="str">
        <f aca="false">IF(OR($E10="",$F10=""),"",IF(AND($E10&lt;=EOMONTH(O$4,0),$F10&gt;=O$4),IF(Plan!$G7="Hito","◆",1),""))</f>
        <v/>
      </c>
      <c r="P10" s="38" t="str">
        <f aca="false">IF(OR($E10="",$F10=""),"",IF(AND($E10&lt;=EOMONTH(P$4,0),$F10&gt;=P$4),IF(Plan!$G7="Hito","◆",1),""))</f>
        <v/>
      </c>
      <c r="Q10" s="38" t="str">
        <f aca="false">IF(OR($E10="",$F10=""),"",IF(AND($E10&lt;=EOMONTH(Q$4,0),$F10&gt;=Q$4),IF(Plan!$G7="Hito","◆",1),""))</f>
        <v/>
      </c>
      <c r="R10" s="38" t="str">
        <f aca="false">IF(OR($E10="",$F10=""),"",IF(AND($E10&lt;=EOMONTH(R$4,0),$F10&gt;=R$4),IF(Plan!$G7="Hito","◆",1),""))</f>
        <v/>
      </c>
      <c r="S10" s="38" t="str">
        <f aca="false">IF(OR($E10="",$F10=""),"",IF(AND($E10&lt;=EOMONTH(S$4,0),$F10&gt;=S$4),IF(Plan!$G7="Hito","◆",1),""))</f>
        <v/>
      </c>
      <c r="T10" s="38" t="str">
        <f aca="false">IF(OR($E10="",$F10=""),"",IF(AND($E10&lt;=EOMONTH(T$4,0),$F10&gt;=T$4),IF(Plan!$G7="Hito","◆",1),""))</f>
        <v/>
      </c>
      <c r="U10" s="38" t="str">
        <f aca="false">IF(OR($E10="",$F10=""),"",IF(AND($E10&lt;=EOMONTH(U$4,0),$F10&gt;=U$4),IF(Plan!$G7="Hito","◆",1),""))</f>
        <v/>
      </c>
      <c r="V10" s="38" t="str">
        <f aca="false">IF(OR($E10="",$F10=""),"",IF(AND($E10&lt;=EOMONTH(V$4,0),$F10&gt;=V$4),IF(Plan!$G7="Hito","◆",1),""))</f>
        <v/>
      </c>
      <c r="W10" s="38" t="str">
        <f aca="false">IF(OR($E10="",$F10=""),"",IF(AND($E10&lt;=EOMONTH(W$4,0),$F10&gt;=W$4),IF(Plan!$G7="Hito","◆",1),""))</f>
        <v/>
      </c>
      <c r="X10" s="38" t="str">
        <f aca="false">IF(OR($E10="",$F10=""),"",IF(AND($E10&lt;=EOMONTH(X$4,0),$F10&gt;=X$4),IF(Plan!$G7="Hito","◆",1),""))</f>
        <v/>
      </c>
    </row>
    <row r="11" customFormat="false" ht="15" hidden="false" customHeight="false" outlineLevel="0" collapsed="false">
      <c r="A11" s="36" t="str">
        <f aca="false">IF(Plan!A8="","",Plan!A8)</f>
        <v>1 · Gobierno y estándares</v>
      </c>
      <c r="B11" s="36" t="str">
        <f aca="false">IF(Plan!B8="","",Plan!B8)</f>
        <v>Políticas de planificación y KPIs comunes (definición y fórmula)</v>
      </c>
      <c r="C11" s="36" t="str">
        <f aca="false">IF(Plan!C8="","",Plan!C8)</f>
        <v>Grupo (todas)</v>
      </c>
      <c r="D11" s="36" t="str">
        <f aca="false">IF(Plan!F8="","",Plan!F8)</f>
        <v>Responsable de procesos (Functional Lead)</v>
      </c>
      <c r="E11" s="37" t="n">
        <f aca="false">IF(Plan!H8="","",Plan!H8)</f>
        <v>46447</v>
      </c>
      <c r="F11" s="37" t="n">
        <f aca="false">IF(Plan!I8="","",Plan!I8)</f>
        <v>46507</v>
      </c>
      <c r="G11" s="38" t="str">
        <f aca="false">IF(OR($E11="",$F11=""),"",IF(AND($E11&lt;=EOMONTH(G$4,0),$F11&gt;=G$4),IF(Plan!$G8="Hito","◆",1),""))</f>
        <v/>
      </c>
      <c r="H11" s="38" t="str">
        <f aca="false">IF(OR($E11="",$F11=""),"",IF(AND($E11&lt;=EOMONTH(H$4,0),$F11&gt;=H$4),IF(Plan!$G8="Hito","◆",1),""))</f>
        <v/>
      </c>
      <c r="I11" s="38" t="n">
        <f aca="false">IF(OR($E11="",$F11=""),"",IF(AND($E11&lt;=EOMONTH(I$4,0),$F11&gt;=I$4),IF(Plan!$G8="Hito","◆",1),""))</f>
        <v>1</v>
      </c>
      <c r="J11" s="38" t="n">
        <f aca="false">IF(OR($E11="",$F11=""),"",IF(AND($E11&lt;=EOMONTH(J$4,0),$F11&gt;=J$4),IF(Plan!$G8="Hito","◆",1),""))</f>
        <v>1</v>
      </c>
      <c r="K11" s="38" t="str">
        <f aca="false">IF(OR($E11="",$F11=""),"",IF(AND($E11&lt;=EOMONTH(K$4,0),$F11&gt;=K$4),IF(Plan!$G8="Hito","◆",1),""))</f>
        <v/>
      </c>
      <c r="L11" s="38" t="str">
        <f aca="false">IF(OR($E11="",$F11=""),"",IF(AND($E11&lt;=EOMONTH(L$4,0),$F11&gt;=L$4),IF(Plan!$G8="Hito","◆",1),""))</f>
        <v/>
      </c>
      <c r="M11" s="38" t="str">
        <f aca="false">IF(OR($E11="",$F11=""),"",IF(AND($E11&lt;=EOMONTH(M$4,0),$F11&gt;=M$4),IF(Plan!$G8="Hito","◆",1),""))</f>
        <v/>
      </c>
      <c r="N11" s="38" t="str">
        <f aca="false">IF(OR($E11="",$F11=""),"",IF(AND($E11&lt;=EOMONTH(N$4,0),$F11&gt;=N$4),IF(Plan!$G8="Hito","◆",1),""))</f>
        <v/>
      </c>
      <c r="O11" s="38" t="str">
        <f aca="false">IF(OR($E11="",$F11=""),"",IF(AND($E11&lt;=EOMONTH(O$4,0),$F11&gt;=O$4),IF(Plan!$G8="Hito","◆",1),""))</f>
        <v/>
      </c>
      <c r="P11" s="38" t="str">
        <f aca="false">IF(OR($E11="",$F11=""),"",IF(AND($E11&lt;=EOMONTH(P$4,0),$F11&gt;=P$4),IF(Plan!$G8="Hito","◆",1),""))</f>
        <v/>
      </c>
      <c r="Q11" s="38" t="str">
        <f aca="false">IF(OR($E11="",$F11=""),"",IF(AND($E11&lt;=EOMONTH(Q$4,0),$F11&gt;=Q$4),IF(Plan!$G8="Hito","◆",1),""))</f>
        <v/>
      </c>
      <c r="R11" s="38" t="str">
        <f aca="false">IF(OR($E11="",$F11=""),"",IF(AND($E11&lt;=EOMONTH(R$4,0),$F11&gt;=R$4),IF(Plan!$G8="Hito","◆",1),""))</f>
        <v/>
      </c>
      <c r="S11" s="38" t="str">
        <f aca="false">IF(OR($E11="",$F11=""),"",IF(AND($E11&lt;=EOMONTH(S$4,0),$F11&gt;=S$4),IF(Plan!$G8="Hito","◆",1),""))</f>
        <v/>
      </c>
      <c r="T11" s="38" t="str">
        <f aca="false">IF(OR($E11="",$F11=""),"",IF(AND($E11&lt;=EOMONTH(T$4,0),$F11&gt;=T$4),IF(Plan!$G8="Hito","◆",1),""))</f>
        <v/>
      </c>
      <c r="U11" s="38" t="str">
        <f aca="false">IF(OR($E11="",$F11=""),"",IF(AND($E11&lt;=EOMONTH(U$4,0),$F11&gt;=U$4),IF(Plan!$G8="Hito","◆",1),""))</f>
        <v/>
      </c>
      <c r="V11" s="38" t="str">
        <f aca="false">IF(OR($E11="",$F11=""),"",IF(AND($E11&lt;=EOMONTH(V$4,0),$F11&gt;=V$4),IF(Plan!$G8="Hito","◆",1),""))</f>
        <v/>
      </c>
      <c r="W11" s="38" t="str">
        <f aca="false">IF(OR($E11="",$F11=""),"",IF(AND($E11&lt;=EOMONTH(W$4,0),$F11&gt;=W$4),IF(Plan!$G8="Hito","◆",1),""))</f>
        <v/>
      </c>
      <c r="X11" s="38" t="str">
        <f aca="false">IF(OR($E11="",$F11=""),"",IF(AND($E11&lt;=EOMONTH(X$4,0),$F11&gt;=X$4),IF(Plan!$G8="Hito","◆",1),""))</f>
        <v/>
      </c>
    </row>
    <row r="12" customFormat="false" ht="15" hidden="false" customHeight="false" outlineLevel="0" collapsed="false">
      <c r="A12" s="36" t="str">
        <f aca="false">IF(Plan!A9="","",Plan!A9)</f>
        <v>1 · Gobierno y estándares</v>
      </c>
      <c r="B12" s="36" t="str">
        <f aca="false">IF(Plan!B9="","",Plan!B9)</f>
        <v>Manual de planificación v1: procedimiento estándar por proceso</v>
      </c>
      <c r="C12" s="36" t="str">
        <f aca="false">IF(Plan!C9="","",Plan!C9)</f>
        <v>Grupo (todas)</v>
      </c>
      <c r="D12" s="36" t="str">
        <f aca="false">IF(Plan!F9="","",Plan!F9)</f>
        <v>Responsable de procesos (Functional Lead)</v>
      </c>
      <c r="E12" s="37" t="n">
        <f aca="false">IF(Plan!H9="","",Plan!H9)</f>
        <v>46426</v>
      </c>
      <c r="F12" s="37" t="n">
        <f aca="false">IF(Plan!I9="","",Plan!I9)</f>
        <v>46507</v>
      </c>
      <c r="G12" s="38" t="str">
        <f aca="false">IF(OR($E12="",$F12=""),"",IF(AND($E12&lt;=EOMONTH(G$4,0),$F12&gt;=G$4),IF(Plan!$G9="Hito","◆",1),""))</f>
        <v/>
      </c>
      <c r="H12" s="38" t="n">
        <f aca="false">IF(OR($E12="",$F12=""),"",IF(AND($E12&lt;=EOMONTH(H$4,0),$F12&gt;=H$4),IF(Plan!$G9="Hito","◆",1),""))</f>
        <v>1</v>
      </c>
      <c r="I12" s="38" t="n">
        <f aca="false">IF(OR($E12="",$F12=""),"",IF(AND($E12&lt;=EOMONTH(I$4,0),$F12&gt;=I$4),IF(Plan!$G9="Hito","◆",1),""))</f>
        <v>1</v>
      </c>
      <c r="J12" s="38" t="n">
        <f aca="false">IF(OR($E12="",$F12=""),"",IF(AND($E12&lt;=EOMONTH(J$4,0),$F12&gt;=J$4),IF(Plan!$G9="Hito","◆",1),""))</f>
        <v>1</v>
      </c>
      <c r="K12" s="38" t="str">
        <f aca="false">IF(OR($E12="",$F12=""),"",IF(AND($E12&lt;=EOMONTH(K$4,0),$F12&gt;=K$4),IF(Plan!$G9="Hito","◆",1),""))</f>
        <v/>
      </c>
      <c r="L12" s="38" t="str">
        <f aca="false">IF(OR($E12="",$F12=""),"",IF(AND($E12&lt;=EOMONTH(L$4,0),$F12&gt;=L$4),IF(Plan!$G9="Hito","◆",1),""))</f>
        <v/>
      </c>
      <c r="M12" s="38" t="str">
        <f aca="false">IF(OR($E12="",$F12=""),"",IF(AND($E12&lt;=EOMONTH(M$4,0),$F12&gt;=M$4),IF(Plan!$G9="Hito","◆",1),""))</f>
        <v/>
      </c>
      <c r="N12" s="38" t="str">
        <f aca="false">IF(OR($E12="",$F12=""),"",IF(AND($E12&lt;=EOMONTH(N$4,0),$F12&gt;=N$4),IF(Plan!$G9="Hito","◆",1),""))</f>
        <v/>
      </c>
      <c r="O12" s="38" t="str">
        <f aca="false">IF(OR($E12="",$F12=""),"",IF(AND($E12&lt;=EOMONTH(O$4,0),$F12&gt;=O$4),IF(Plan!$G9="Hito","◆",1),""))</f>
        <v/>
      </c>
      <c r="P12" s="38" t="str">
        <f aca="false">IF(OR($E12="",$F12=""),"",IF(AND($E12&lt;=EOMONTH(P$4,0),$F12&gt;=P$4),IF(Plan!$G9="Hito","◆",1),""))</f>
        <v/>
      </c>
      <c r="Q12" s="38" t="str">
        <f aca="false">IF(OR($E12="",$F12=""),"",IF(AND($E12&lt;=EOMONTH(Q$4,0),$F12&gt;=Q$4),IF(Plan!$G9="Hito","◆",1),""))</f>
        <v/>
      </c>
      <c r="R12" s="38" t="str">
        <f aca="false">IF(OR($E12="",$F12=""),"",IF(AND($E12&lt;=EOMONTH(R$4,0),$F12&gt;=R$4),IF(Plan!$G9="Hito","◆",1),""))</f>
        <v/>
      </c>
      <c r="S12" s="38" t="str">
        <f aca="false">IF(OR($E12="",$F12=""),"",IF(AND($E12&lt;=EOMONTH(S$4,0),$F12&gt;=S$4),IF(Plan!$G9="Hito","◆",1),""))</f>
        <v/>
      </c>
      <c r="T12" s="38" t="str">
        <f aca="false">IF(OR($E12="",$F12=""),"",IF(AND($E12&lt;=EOMONTH(T$4,0),$F12&gt;=T$4),IF(Plan!$G9="Hito","◆",1),""))</f>
        <v/>
      </c>
      <c r="U12" s="38" t="str">
        <f aca="false">IF(OR($E12="",$F12=""),"",IF(AND($E12&lt;=EOMONTH(U$4,0),$F12&gt;=U$4),IF(Plan!$G9="Hito","◆",1),""))</f>
        <v/>
      </c>
      <c r="V12" s="38" t="str">
        <f aca="false">IF(OR($E12="",$F12=""),"",IF(AND($E12&lt;=EOMONTH(V$4,0),$F12&gt;=V$4),IF(Plan!$G9="Hito","◆",1),""))</f>
        <v/>
      </c>
      <c r="W12" s="38" t="str">
        <f aca="false">IF(OR($E12="",$F12=""),"",IF(AND($E12&lt;=EOMONTH(W$4,0),$F12&gt;=W$4),IF(Plan!$G9="Hito","◆",1),""))</f>
        <v/>
      </c>
      <c r="X12" s="38" t="str">
        <f aca="false">IF(OR($E12="",$F12=""),"",IF(AND($E12&lt;=EOMONTH(X$4,0),$F12&gt;=X$4),IF(Plan!$G9="Hito","◆",1),""))</f>
        <v/>
      </c>
    </row>
    <row r="13" customFormat="false" ht="15" hidden="false" customHeight="false" outlineLevel="0" collapsed="false">
      <c r="A13" s="36" t="str">
        <f aca="false">IF(Plan!A10="","",Plan!A10)</f>
        <v>1 · Gobierno y estándares</v>
      </c>
      <c r="B13" s="36" t="str">
        <f aca="false">IF(Plan!B10="","",Plan!B10)</f>
        <v>Manual de planificación v1 publicado</v>
      </c>
      <c r="C13" s="36" t="str">
        <f aca="false">IF(Plan!C10="","",Plan!C10)</f>
        <v>Grupo (todas)</v>
      </c>
      <c r="D13" s="36" t="str">
        <f aca="false">IF(Plan!F10="","",Plan!F10)</f>
        <v>Responsable de procesos (Functional Lead)</v>
      </c>
      <c r="E13" s="37" t="n">
        <f aca="false">IF(Plan!H10="","",Plan!H10)</f>
        <v>46507</v>
      </c>
      <c r="F13" s="37" t="n">
        <f aca="false">IF(Plan!I10="","",Plan!I10)</f>
        <v>46507</v>
      </c>
      <c r="G13" s="38" t="str">
        <f aca="false">IF(OR($E13="",$F13=""),"",IF(AND($E13&lt;=EOMONTH(G$4,0),$F13&gt;=G$4),IF(Plan!$G10="Hito","◆",1),""))</f>
        <v/>
      </c>
      <c r="H13" s="38" t="str">
        <f aca="false">IF(OR($E13="",$F13=""),"",IF(AND($E13&lt;=EOMONTH(H$4,0),$F13&gt;=H$4),IF(Plan!$G10="Hito","◆",1),""))</f>
        <v/>
      </c>
      <c r="I13" s="38" t="str">
        <f aca="false">IF(OR($E13="",$F13=""),"",IF(AND($E13&lt;=EOMONTH(I$4,0),$F13&gt;=I$4),IF(Plan!$G10="Hito","◆",1),""))</f>
        <v/>
      </c>
      <c r="J13" s="38" t="str">
        <f aca="false">IF(OR($E13="",$F13=""),"",IF(AND($E13&lt;=EOMONTH(J$4,0),$F13&gt;=J$4),IF(Plan!$G10="Hito","◆",1),""))</f>
        <v>◆</v>
      </c>
      <c r="K13" s="38" t="str">
        <f aca="false">IF(OR($E13="",$F13=""),"",IF(AND($E13&lt;=EOMONTH(K$4,0),$F13&gt;=K$4),IF(Plan!$G10="Hito","◆",1),""))</f>
        <v/>
      </c>
      <c r="L13" s="38" t="str">
        <f aca="false">IF(OR($E13="",$F13=""),"",IF(AND($E13&lt;=EOMONTH(L$4,0),$F13&gt;=L$4),IF(Plan!$G10="Hito","◆",1),""))</f>
        <v/>
      </c>
      <c r="M13" s="38" t="str">
        <f aca="false">IF(OR($E13="",$F13=""),"",IF(AND($E13&lt;=EOMONTH(M$4,0),$F13&gt;=M$4),IF(Plan!$G10="Hito","◆",1),""))</f>
        <v/>
      </c>
      <c r="N13" s="38" t="str">
        <f aca="false">IF(OR($E13="",$F13=""),"",IF(AND($E13&lt;=EOMONTH(N$4,0),$F13&gt;=N$4),IF(Plan!$G10="Hito","◆",1),""))</f>
        <v/>
      </c>
      <c r="O13" s="38" t="str">
        <f aca="false">IF(OR($E13="",$F13=""),"",IF(AND($E13&lt;=EOMONTH(O$4,0),$F13&gt;=O$4),IF(Plan!$G10="Hito","◆",1),""))</f>
        <v/>
      </c>
      <c r="P13" s="38" t="str">
        <f aca="false">IF(OR($E13="",$F13=""),"",IF(AND($E13&lt;=EOMONTH(P$4,0),$F13&gt;=P$4),IF(Plan!$G10="Hito","◆",1),""))</f>
        <v/>
      </c>
      <c r="Q13" s="38" t="str">
        <f aca="false">IF(OR($E13="",$F13=""),"",IF(AND($E13&lt;=EOMONTH(Q$4,0),$F13&gt;=Q$4),IF(Plan!$G10="Hito","◆",1),""))</f>
        <v/>
      </c>
      <c r="R13" s="38" t="str">
        <f aca="false">IF(OR($E13="",$F13=""),"",IF(AND($E13&lt;=EOMONTH(R$4,0),$F13&gt;=R$4),IF(Plan!$G10="Hito","◆",1),""))</f>
        <v/>
      </c>
      <c r="S13" s="38" t="str">
        <f aca="false">IF(OR($E13="",$F13=""),"",IF(AND($E13&lt;=EOMONTH(S$4,0),$F13&gt;=S$4),IF(Plan!$G10="Hito","◆",1),""))</f>
        <v/>
      </c>
      <c r="T13" s="38" t="str">
        <f aca="false">IF(OR($E13="",$F13=""),"",IF(AND($E13&lt;=EOMONTH(T$4,0),$F13&gt;=T$4),IF(Plan!$G10="Hito","◆",1),""))</f>
        <v/>
      </c>
      <c r="U13" s="38" t="str">
        <f aca="false">IF(OR($E13="",$F13=""),"",IF(AND($E13&lt;=EOMONTH(U$4,0),$F13&gt;=U$4),IF(Plan!$G10="Hito","◆",1),""))</f>
        <v/>
      </c>
      <c r="V13" s="38" t="str">
        <f aca="false">IF(OR($E13="",$F13=""),"",IF(AND($E13&lt;=EOMONTH(V$4,0),$F13&gt;=V$4),IF(Plan!$G10="Hito","◆",1),""))</f>
        <v/>
      </c>
      <c r="W13" s="38" t="str">
        <f aca="false">IF(OR($E13="",$F13=""),"",IF(AND($E13&lt;=EOMONTH(W$4,0),$F13&gt;=W$4),IF(Plan!$G10="Hito","◆",1),""))</f>
        <v/>
      </c>
      <c r="X13" s="38" t="str">
        <f aca="false">IF(OR($E13="",$F13=""),"",IF(AND($E13&lt;=EOMONTH(X$4,0),$F13&gt;=X$4),IF(Plan!$G10="Hito","◆",1),""))</f>
        <v/>
      </c>
    </row>
    <row r="14" customFormat="false" ht="15" hidden="false" customHeight="false" outlineLevel="0" collapsed="false">
      <c r="A14" s="36" t="str">
        <f aca="false">IF(Plan!A11="","",Plan!A11)</f>
        <v>2 · Piloto Ondupet</v>
      </c>
      <c r="B14" s="36" t="str">
        <f aca="false">IF(Plan!B11="","",Plan!B11)</f>
        <v>Cerrar el E2E de Ondupet: capacidad, programación, entrega y control (5–8)</v>
      </c>
      <c r="C14" s="36" t="str">
        <f aca="false">IF(Plan!C11="","",Plan!C11)</f>
        <v>Ondupet</v>
      </c>
      <c r="D14" s="36" t="str">
        <f aca="false">IF(Plan!F11="","",Plan!F11)</f>
        <v>Responsable de procesos (Functional Lead)</v>
      </c>
      <c r="E14" s="37" t="n">
        <f aca="false">IF(Plan!H11="","",Plan!H11)</f>
        <v>46398</v>
      </c>
      <c r="F14" s="37" t="n">
        <f aca="false">IF(Plan!I11="","",Plan!I11)</f>
        <v>46423</v>
      </c>
      <c r="G14" s="38" t="n">
        <f aca="false">IF(OR($E14="",$F14=""),"",IF(AND($E14&lt;=EOMONTH(G$4,0),$F14&gt;=G$4),IF(Plan!$G11="Hito","◆",1),""))</f>
        <v>1</v>
      </c>
      <c r="H14" s="38" t="n">
        <f aca="false">IF(OR($E14="",$F14=""),"",IF(AND($E14&lt;=EOMONTH(H$4,0),$F14&gt;=H$4),IF(Plan!$G11="Hito","◆",1),""))</f>
        <v>1</v>
      </c>
      <c r="I14" s="38" t="str">
        <f aca="false">IF(OR($E14="",$F14=""),"",IF(AND($E14&lt;=EOMONTH(I$4,0),$F14&gt;=I$4),IF(Plan!$G11="Hito","◆",1),""))</f>
        <v/>
      </c>
      <c r="J14" s="38" t="str">
        <f aca="false">IF(OR($E14="",$F14=""),"",IF(AND($E14&lt;=EOMONTH(J$4,0),$F14&gt;=J$4),IF(Plan!$G11="Hito","◆",1),""))</f>
        <v/>
      </c>
      <c r="K14" s="38" t="str">
        <f aca="false">IF(OR($E14="",$F14=""),"",IF(AND($E14&lt;=EOMONTH(K$4,0),$F14&gt;=K$4),IF(Plan!$G11="Hito","◆",1),""))</f>
        <v/>
      </c>
      <c r="L14" s="38" t="str">
        <f aca="false">IF(OR($E14="",$F14=""),"",IF(AND($E14&lt;=EOMONTH(L$4,0),$F14&gt;=L$4),IF(Plan!$G11="Hito","◆",1),""))</f>
        <v/>
      </c>
      <c r="M14" s="38" t="str">
        <f aca="false">IF(OR($E14="",$F14=""),"",IF(AND($E14&lt;=EOMONTH(M$4,0),$F14&gt;=M$4),IF(Plan!$G11="Hito","◆",1),""))</f>
        <v/>
      </c>
      <c r="N14" s="38" t="str">
        <f aca="false">IF(OR($E14="",$F14=""),"",IF(AND($E14&lt;=EOMONTH(N$4,0),$F14&gt;=N$4),IF(Plan!$G11="Hito","◆",1),""))</f>
        <v/>
      </c>
      <c r="O14" s="38" t="str">
        <f aca="false">IF(OR($E14="",$F14=""),"",IF(AND($E14&lt;=EOMONTH(O$4,0),$F14&gt;=O$4),IF(Plan!$G11="Hito","◆",1),""))</f>
        <v/>
      </c>
      <c r="P14" s="38" t="str">
        <f aca="false">IF(OR($E14="",$F14=""),"",IF(AND($E14&lt;=EOMONTH(P$4,0),$F14&gt;=P$4),IF(Plan!$G11="Hito","◆",1),""))</f>
        <v/>
      </c>
      <c r="Q14" s="38" t="str">
        <f aca="false">IF(OR($E14="",$F14=""),"",IF(AND($E14&lt;=EOMONTH(Q$4,0),$F14&gt;=Q$4),IF(Plan!$G11="Hito","◆",1),""))</f>
        <v/>
      </c>
      <c r="R14" s="38" t="str">
        <f aca="false">IF(OR($E14="",$F14=""),"",IF(AND($E14&lt;=EOMONTH(R$4,0),$F14&gt;=R$4),IF(Plan!$G11="Hito","◆",1),""))</f>
        <v/>
      </c>
      <c r="S14" s="38" t="str">
        <f aca="false">IF(OR($E14="",$F14=""),"",IF(AND($E14&lt;=EOMONTH(S$4,0),$F14&gt;=S$4),IF(Plan!$G11="Hito","◆",1),""))</f>
        <v/>
      </c>
      <c r="T14" s="38" t="str">
        <f aca="false">IF(OR($E14="",$F14=""),"",IF(AND($E14&lt;=EOMONTH(T$4,0),$F14&gt;=T$4),IF(Plan!$G11="Hito","◆",1),""))</f>
        <v/>
      </c>
      <c r="U14" s="38" t="str">
        <f aca="false">IF(OR($E14="",$F14=""),"",IF(AND($E14&lt;=EOMONTH(U$4,0),$F14&gt;=U$4),IF(Plan!$G11="Hito","◆",1),""))</f>
        <v/>
      </c>
      <c r="V14" s="38" t="str">
        <f aca="false">IF(OR($E14="",$F14=""),"",IF(AND($E14&lt;=EOMONTH(V$4,0),$F14&gt;=V$4),IF(Plan!$G11="Hito","◆",1),""))</f>
        <v/>
      </c>
      <c r="W14" s="38" t="str">
        <f aca="false">IF(OR($E14="",$F14=""),"",IF(AND($E14&lt;=EOMONTH(W$4,0),$F14&gt;=W$4),IF(Plan!$G11="Hito","◆",1),""))</f>
        <v/>
      </c>
      <c r="X14" s="38" t="str">
        <f aca="false">IF(OR($E14="",$F14=""),"",IF(AND($E14&lt;=EOMONTH(X$4,0),$F14&gt;=X$4),IF(Plan!$G11="Hito","◆",1),""))</f>
        <v/>
      </c>
    </row>
    <row r="15" customFormat="false" ht="15" hidden="false" customHeight="false" outlineLevel="0" collapsed="false">
      <c r="A15" s="36" t="str">
        <f aca="false">IF(Plan!A12="","",Plan!A12)</f>
        <v>2 · Piloto Ondupet</v>
      </c>
      <c r="B15" s="36" t="str">
        <f aca="false">IF(Plan!B12="","",Plan!B12)</f>
        <v>Plantilla única de alta de material con estrategia y ruta</v>
      </c>
      <c r="C15" s="36" t="str">
        <f aca="false">IF(Plan!C12="","",Plan!C12)</f>
        <v>Ondupet</v>
      </c>
      <c r="D15" s="36" t="str">
        <f aca="false">IF(Plan!F12="","",Plan!F12)</f>
        <v>Responsable de dato maestro</v>
      </c>
      <c r="E15" s="37" t="n">
        <f aca="false">IF(Plan!H12="","",Plan!H12)</f>
        <v>46419</v>
      </c>
      <c r="F15" s="37" t="n">
        <f aca="false">IF(Plan!I12="","",Plan!I12)</f>
        <v>46477</v>
      </c>
      <c r="G15" s="38" t="str">
        <f aca="false">IF(OR($E15="",$F15=""),"",IF(AND($E15&lt;=EOMONTH(G$4,0),$F15&gt;=G$4),IF(Plan!$G12="Hito","◆",1),""))</f>
        <v/>
      </c>
      <c r="H15" s="38" t="n">
        <f aca="false">IF(OR($E15="",$F15=""),"",IF(AND($E15&lt;=EOMONTH(H$4,0),$F15&gt;=H$4),IF(Plan!$G12="Hito","◆",1),""))</f>
        <v>1</v>
      </c>
      <c r="I15" s="38" t="n">
        <f aca="false">IF(OR($E15="",$F15=""),"",IF(AND($E15&lt;=EOMONTH(I$4,0),$F15&gt;=I$4),IF(Plan!$G12="Hito","◆",1),""))</f>
        <v>1</v>
      </c>
      <c r="J15" s="38" t="str">
        <f aca="false">IF(OR($E15="",$F15=""),"",IF(AND($E15&lt;=EOMONTH(J$4,0),$F15&gt;=J$4),IF(Plan!$G12="Hito","◆",1),""))</f>
        <v/>
      </c>
      <c r="K15" s="38" t="str">
        <f aca="false">IF(OR($E15="",$F15=""),"",IF(AND($E15&lt;=EOMONTH(K$4,0),$F15&gt;=K$4),IF(Plan!$G12="Hito","◆",1),""))</f>
        <v/>
      </c>
      <c r="L15" s="38" t="str">
        <f aca="false">IF(OR($E15="",$F15=""),"",IF(AND($E15&lt;=EOMONTH(L$4,0),$F15&gt;=L$4),IF(Plan!$G12="Hito","◆",1),""))</f>
        <v/>
      </c>
      <c r="M15" s="38" t="str">
        <f aca="false">IF(OR($E15="",$F15=""),"",IF(AND($E15&lt;=EOMONTH(M$4,0),$F15&gt;=M$4),IF(Plan!$G12="Hito","◆",1),""))</f>
        <v/>
      </c>
      <c r="N15" s="38" t="str">
        <f aca="false">IF(OR($E15="",$F15=""),"",IF(AND($E15&lt;=EOMONTH(N$4,0),$F15&gt;=N$4),IF(Plan!$G12="Hito","◆",1),""))</f>
        <v/>
      </c>
      <c r="O15" s="38" t="str">
        <f aca="false">IF(OR($E15="",$F15=""),"",IF(AND($E15&lt;=EOMONTH(O$4,0),$F15&gt;=O$4),IF(Plan!$G12="Hito","◆",1),""))</f>
        <v/>
      </c>
      <c r="P15" s="38" t="str">
        <f aca="false">IF(OR($E15="",$F15=""),"",IF(AND($E15&lt;=EOMONTH(P$4,0),$F15&gt;=P$4),IF(Plan!$G12="Hito","◆",1),""))</f>
        <v/>
      </c>
      <c r="Q15" s="38" t="str">
        <f aca="false">IF(OR($E15="",$F15=""),"",IF(AND($E15&lt;=EOMONTH(Q$4,0),$F15&gt;=Q$4),IF(Plan!$G12="Hito","◆",1),""))</f>
        <v/>
      </c>
      <c r="R15" s="38" t="str">
        <f aca="false">IF(OR($E15="",$F15=""),"",IF(AND($E15&lt;=EOMONTH(R$4,0),$F15&gt;=R$4),IF(Plan!$G12="Hito","◆",1),""))</f>
        <v/>
      </c>
      <c r="S15" s="38" t="str">
        <f aca="false">IF(OR($E15="",$F15=""),"",IF(AND($E15&lt;=EOMONTH(S$4,0),$F15&gt;=S$4),IF(Plan!$G12="Hito","◆",1),""))</f>
        <v/>
      </c>
      <c r="T15" s="38" t="str">
        <f aca="false">IF(OR($E15="",$F15=""),"",IF(AND($E15&lt;=EOMONTH(T$4,0),$F15&gt;=T$4),IF(Plan!$G12="Hito","◆",1),""))</f>
        <v/>
      </c>
      <c r="U15" s="38" t="str">
        <f aca="false">IF(OR($E15="",$F15=""),"",IF(AND($E15&lt;=EOMONTH(U$4,0),$F15&gt;=U$4),IF(Plan!$G12="Hito","◆",1),""))</f>
        <v/>
      </c>
      <c r="V15" s="38" t="str">
        <f aca="false">IF(OR($E15="",$F15=""),"",IF(AND($E15&lt;=EOMONTH(V$4,0),$F15&gt;=V$4),IF(Plan!$G12="Hito","◆",1),""))</f>
        <v/>
      </c>
      <c r="W15" s="38" t="str">
        <f aca="false">IF(OR($E15="",$F15=""),"",IF(AND($E15&lt;=EOMONTH(W$4,0),$F15&gt;=W$4),IF(Plan!$G12="Hito","◆",1),""))</f>
        <v/>
      </c>
      <c r="X15" s="38" t="str">
        <f aca="false">IF(OR($E15="",$F15=""),"",IF(AND($E15&lt;=EOMONTH(X$4,0),$F15&gt;=X$4),IF(Plan!$G12="Hito","◆",1),""))</f>
        <v/>
      </c>
    </row>
    <row r="16" customFormat="false" ht="15" hidden="false" customHeight="false" outlineLevel="0" collapsed="false">
      <c r="A16" s="36" t="str">
        <f aca="false">IF(Plan!A13="","",Plan!A13)</f>
        <v>2 · Piloto Ondupet</v>
      </c>
      <c r="B16" s="36" t="str">
        <f aca="false">IF(Plan!B13="","",Plan!B13)</f>
        <v>Primera revisión de ABC/XYZ y estrategias; después, trimestral</v>
      </c>
      <c r="C16" s="36" t="str">
        <f aca="false">IF(Plan!C13="","",Plan!C13)</f>
        <v>Ondupet</v>
      </c>
      <c r="D16" s="36" t="str">
        <f aca="false">IF(Plan!F13="","",Plan!F13)</f>
        <v>Responsable de dato maestro</v>
      </c>
      <c r="E16" s="37" t="n">
        <f aca="false">IF(Plan!H13="","",Plan!H13)</f>
        <v>46447</v>
      </c>
      <c r="F16" s="37" t="n">
        <f aca="false">IF(Plan!I13="","",Plan!I13)</f>
        <v>46507</v>
      </c>
      <c r="G16" s="38" t="str">
        <f aca="false">IF(OR($E16="",$F16=""),"",IF(AND($E16&lt;=EOMONTH(G$4,0),$F16&gt;=G$4),IF(Plan!$G13="Hito","◆",1),""))</f>
        <v/>
      </c>
      <c r="H16" s="38" t="str">
        <f aca="false">IF(OR($E16="",$F16=""),"",IF(AND($E16&lt;=EOMONTH(H$4,0),$F16&gt;=H$4),IF(Plan!$G13="Hito","◆",1),""))</f>
        <v/>
      </c>
      <c r="I16" s="38" t="n">
        <f aca="false">IF(OR($E16="",$F16=""),"",IF(AND($E16&lt;=EOMONTH(I$4,0),$F16&gt;=I$4),IF(Plan!$G13="Hito","◆",1),""))</f>
        <v>1</v>
      </c>
      <c r="J16" s="38" t="n">
        <f aca="false">IF(OR($E16="",$F16=""),"",IF(AND($E16&lt;=EOMONTH(J$4,0),$F16&gt;=J$4),IF(Plan!$G13="Hito","◆",1),""))</f>
        <v>1</v>
      </c>
      <c r="K16" s="38" t="str">
        <f aca="false">IF(OR($E16="",$F16=""),"",IF(AND($E16&lt;=EOMONTH(K$4,0),$F16&gt;=K$4),IF(Plan!$G13="Hito","◆",1),""))</f>
        <v/>
      </c>
      <c r="L16" s="38" t="str">
        <f aca="false">IF(OR($E16="",$F16=""),"",IF(AND($E16&lt;=EOMONTH(L$4,0),$F16&gt;=L$4),IF(Plan!$G13="Hito","◆",1),""))</f>
        <v/>
      </c>
      <c r="M16" s="38" t="str">
        <f aca="false">IF(OR($E16="",$F16=""),"",IF(AND($E16&lt;=EOMONTH(M$4,0),$F16&gt;=M$4),IF(Plan!$G13="Hito","◆",1),""))</f>
        <v/>
      </c>
      <c r="N16" s="38" t="str">
        <f aca="false">IF(OR($E16="",$F16=""),"",IF(AND($E16&lt;=EOMONTH(N$4,0),$F16&gt;=N$4),IF(Plan!$G13="Hito","◆",1),""))</f>
        <v/>
      </c>
      <c r="O16" s="38" t="str">
        <f aca="false">IF(OR($E16="",$F16=""),"",IF(AND($E16&lt;=EOMONTH(O$4,0),$F16&gt;=O$4),IF(Plan!$G13="Hito","◆",1),""))</f>
        <v/>
      </c>
      <c r="P16" s="38" t="str">
        <f aca="false">IF(OR($E16="",$F16=""),"",IF(AND($E16&lt;=EOMONTH(P$4,0),$F16&gt;=P$4),IF(Plan!$G13="Hito","◆",1),""))</f>
        <v/>
      </c>
      <c r="Q16" s="38" t="str">
        <f aca="false">IF(OR($E16="",$F16=""),"",IF(AND($E16&lt;=EOMONTH(Q$4,0),$F16&gt;=Q$4),IF(Plan!$G13="Hito","◆",1),""))</f>
        <v/>
      </c>
      <c r="R16" s="38" t="str">
        <f aca="false">IF(OR($E16="",$F16=""),"",IF(AND($E16&lt;=EOMONTH(R$4,0),$F16&gt;=R$4),IF(Plan!$G13="Hito","◆",1),""))</f>
        <v/>
      </c>
      <c r="S16" s="38" t="str">
        <f aca="false">IF(OR($E16="",$F16=""),"",IF(AND($E16&lt;=EOMONTH(S$4,0),$F16&gt;=S$4),IF(Plan!$G13="Hito","◆",1),""))</f>
        <v/>
      </c>
      <c r="T16" s="38" t="str">
        <f aca="false">IF(OR($E16="",$F16=""),"",IF(AND($E16&lt;=EOMONTH(T$4,0),$F16&gt;=T$4),IF(Plan!$G13="Hito","◆",1),""))</f>
        <v/>
      </c>
      <c r="U16" s="38" t="str">
        <f aca="false">IF(OR($E16="",$F16=""),"",IF(AND($E16&lt;=EOMONTH(U$4,0),$F16&gt;=U$4),IF(Plan!$G13="Hito","◆",1),""))</f>
        <v/>
      </c>
      <c r="V16" s="38" t="str">
        <f aca="false">IF(OR($E16="",$F16=""),"",IF(AND($E16&lt;=EOMONTH(V$4,0),$F16&gt;=V$4),IF(Plan!$G13="Hito","◆",1),""))</f>
        <v/>
      </c>
      <c r="W16" s="38" t="str">
        <f aca="false">IF(OR($E16="",$F16=""),"",IF(AND($E16&lt;=EOMONTH(W$4,0),$F16&gt;=W$4),IF(Plan!$G13="Hito","◆",1),""))</f>
        <v/>
      </c>
      <c r="X16" s="38" t="str">
        <f aca="false">IF(OR($E16="",$F16=""),"",IF(AND($E16&lt;=EOMONTH(X$4,0),$F16&gt;=X$4),IF(Plan!$G13="Hito","◆",1),""))</f>
        <v/>
      </c>
    </row>
    <row r="17" customFormat="false" ht="15" hidden="false" customHeight="false" outlineLevel="0" collapsed="false">
      <c r="A17" s="36" t="str">
        <f aca="false">IF(Plan!A14="","",Plan!A14)</f>
        <v>2 · Piloto Ondupet</v>
      </c>
      <c r="B17" s="36" t="str">
        <f aca="false">IF(Plan!B14="","",Plan!B14)</f>
        <v>Criterio de qué define un material y limpieza de duplicados</v>
      </c>
      <c r="C17" s="36" t="str">
        <f aca="false">IF(Plan!C14="","",Plan!C14)</f>
        <v>Ondupet</v>
      </c>
      <c r="D17" s="36" t="str">
        <f aca="false">IF(Plan!F14="","",Plan!F14)</f>
        <v>Responsable de dato maestro</v>
      </c>
      <c r="E17" s="37" t="n">
        <f aca="false">IF(Plan!H14="","",Plan!H14)</f>
        <v>46447</v>
      </c>
      <c r="F17" s="37" t="n">
        <f aca="false">IF(Plan!I14="","",Plan!I14)</f>
        <v>46535</v>
      </c>
      <c r="G17" s="38" t="str">
        <f aca="false">IF(OR($E17="",$F17=""),"",IF(AND($E17&lt;=EOMONTH(G$4,0),$F17&gt;=G$4),IF(Plan!$G14="Hito","◆",1),""))</f>
        <v/>
      </c>
      <c r="H17" s="38" t="str">
        <f aca="false">IF(OR($E17="",$F17=""),"",IF(AND($E17&lt;=EOMONTH(H$4,0),$F17&gt;=H$4),IF(Plan!$G14="Hito","◆",1),""))</f>
        <v/>
      </c>
      <c r="I17" s="38" t="n">
        <f aca="false">IF(OR($E17="",$F17=""),"",IF(AND($E17&lt;=EOMONTH(I$4,0),$F17&gt;=I$4),IF(Plan!$G14="Hito","◆",1),""))</f>
        <v>1</v>
      </c>
      <c r="J17" s="38" t="n">
        <f aca="false">IF(OR($E17="",$F17=""),"",IF(AND($E17&lt;=EOMONTH(J$4,0),$F17&gt;=J$4),IF(Plan!$G14="Hito","◆",1),""))</f>
        <v>1</v>
      </c>
      <c r="K17" s="38" t="n">
        <f aca="false">IF(OR($E17="",$F17=""),"",IF(AND($E17&lt;=EOMONTH(K$4,0),$F17&gt;=K$4),IF(Plan!$G14="Hito","◆",1),""))</f>
        <v>1</v>
      </c>
      <c r="L17" s="38" t="str">
        <f aca="false">IF(OR($E17="",$F17=""),"",IF(AND($E17&lt;=EOMONTH(L$4,0),$F17&gt;=L$4),IF(Plan!$G14="Hito","◆",1),""))</f>
        <v/>
      </c>
      <c r="M17" s="38" t="str">
        <f aca="false">IF(OR($E17="",$F17=""),"",IF(AND($E17&lt;=EOMONTH(M$4,0),$F17&gt;=M$4),IF(Plan!$G14="Hito","◆",1),""))</f>
        <v/>
      </c>
      <c r="N17" s="38" t="str">
        <f aca="false">IF(OR($E17="",$F17=""),"",IF(AND($E17&lt;=EOMONTH(N$4,0),$F17&gt;=N$4),IF(Plan!$G14="Hito","◆",1),""))</f>
        <v/>
      </c>
      <c r="O17" s="38" t="str">
        <f aca="false">IF(OR($E17="",$F17=""),"",IF(AND($E17&lt;=EOMONTH(O$4,0),$F17&gt;=O$4),IF(Plan!$G14="Hito","◆",1),""))</f>
        <v/>
      </c>
      <c r="P17" s="38" t="str">
        <f aca="false">IF(OR($E17="",$F17=""),"",IF(AND($E17&lt;=EOMONTH(P$4,0),$F17&gt;=P$4),IF(Plan!$G14="Hito","◆",1),""))</f>
        <v/>
      </c>
      <c r="Q17" s="38" t="str">
        <f aca="false">IF(OR($E17="",$F17=""),"",IF(AND($E17&lt;=EOMONTH(Q$4,0),$F17&gt;=Q$4),IF(Plan!$G14="Hito","◆",1),""))</f>
        <v/>
      </c>
      <c r="R17" s="38" t="str">
        <f aca="false">IF(OR($E17="",$F17=""),"",IF(AND($E17&lt;=EOMONTH(R$4,0),$F17&gt;=R$4),IF(Plan!$G14="Hito","◆",1),""))</f>
        <v/>
      </c>
      <c r="S17" s="38" t="str">
        <f aca="false">IF(OR($E17="",$F17=""),"",IF(AND($E17&lt;=EOMONTH(S$4,0),$F17&gt;=S$4),IF(Plan!$G14="Hito","◆",1),""))</f>
        <v/>
      </c>
      <c r="T17" s="38" t="str">
        <f aca="false">IF(OR($E17="",$F17=""),"",IF(AND($E17&lt;=EOMONTH(T$4,0),$F17&gt;=T$4),IF(Plan!$G14="Hito","◆",1),""))</f>
        <v/>
      </c>
      <c r="U17" s="38" t="str">
        <f aca="false">IF(OR($E17="",$F17=""),"",IF(AND($E17&lt;=EOMONTH(U$4,0),$F17&gt;=U$4),IF(Plan!$G14="Hito","◆",1),""))</f>
        <v/>
      </c>
      <c r="V17" s="38" t="str">
        <f aca="false">IF(OR($E17="",$F17=""),"",IF(AND($E17&lt;=EOMONTH(V$4,0),$F17&gt;=V$4),IF(Plan!$G14="Hito","◆",1),""))</f>
        <v/>
      </c>
      <c r="W17" s="38" t="str">
        <f aca="false">IF(OR($E17="",$F17=""),"",IF(AND($E17&lt;=EOMONTH(W$4,0),$F17&gt;=W$4),IF(Plan!$G14="Hito","◆",1),""))</f>
        <v/>
      </c>
      <c r="X17" s="38" t="str">
        <f aca="false">IF(OR($E17="",$F17=""),"",IF(AND($E17&lt;=EOMONTH(X$4,0),$F17&gt;=X$4),IF(Plan!$G14="Hito","◆",1),""))</f>
        <v/>
      </c>
    </row>
    <row r="18" customFormat="false" ht="15" hidden="false" customHeight="false" outlineLevel="0" collapsed="false">
      <c r="A18" s="36" t="str">
        <f aca="false">IF(Plan!A15="","",Plan!A15)</f>
        <v>2 · Piloto Ondupet</v>
      </c>
      <c r="B18" s="36" t="str">
        <f aca="false">IF(Plan!B15="","",Plan!B15)</f>
        <v>Revisión mensual de rutas por defecto con la carga del mes</v>
      </c>
      <c r="C18" s="36" t="str">
        <f aca="false">IF(Plan!C15="","",Plan!C15)</f>
        <v>Ondupet</v>
      </c>
      <c r="D18" s="36" t="str">
        <f aca="false">IF(Plan!F15="","",Plan!F15)</f>
        <v>Programador/a de producción</v>
      </c>
      <c r="E18" s="37" t="n">
        <f aca="false">IF(Plan!H15="","",Plan!H15)</f>
        <v>46482</v>
      </c>
      <c r="F18" s="37" t="n">
        <f aca="false">IF(Plan!I15="","",Plan!I15)</f>
        <v>46535</v>
      </c>
      <c r="G18" s="38" t="str">
        <f aca="false">IF(OR($E18="",$F18=""),"",IF(AND($E18&lt;=EOMONTH(G$4,0),$F18&gt;=G$4),IF(Plan!$G15="Hito","◆",1),""))</f>
        <v/>
      </c>
      <c r="H18" s="38" t="str">
        <f aca="false">IF(OR($E18="",$F18=""),"",IF(AND($E18&lt;=EOMONTH(H$4,0),$F18&gt;=H$4),IF(Plan!$G15="Hito","◆",1),""))</f>
        <v/>
      </c>
      <c r="I18" s="38" t="str">
        <f aca="false">IF(OR($E18="",$F18=""),"",IF(AND($E18&lt;=EOMONTH(I$4,0),$F18&gt;=I$4),IF(Plan!$G15="Hito","◆",1),""))</f>
        <v/>
      </c>
      <c r="J18" s="38" t="n">
        <f aca="false">IF(OR($E18="",$F18=""),"",IF(AND($E18&lt;=EOMONTH(J$4,0),$F18&gt;=J$4),IF(Plan!$G15="Hito","◆",1),""))</f>
        <v>1</v>
      </c>
      <c r="K18" s="38" t="n">
        <f aca="false">IF(OR($E18="",$F18=""),"",IF(AND($E18&lt;=EOMONTH(K$4,0),$F18&gt;=K$4),IF(Plan!$G15="Hito","◆",1),""))</f>
        <v>1</v>
      </c>
      <c r="L18" s="38" t="str">
        <f aca="false">IF(OR($E18="",$F18=""),"",IF(AND($E18&lt;=EOMONTH(L$4,0),$F18&gt;=L$4),IF(Plan!$G15="Hito","◆",1),""))</f>
        <v/>
      </c>
      <c r="M18" s="38" t="str">
        <f aca="false">IF(OR($E18="",$F18=""),"",IF(AND($E18&lt;=EOMONTH(M$4,0),$F18&gt;=M$4),IF(Plan!$G15="Hito","◆",1),""))</f>
        <v/>
      </c>
      <c r="N18" s="38" t="str">
        <f aca="false">IF(OR($E18="",$F18=""),"",IF(AND($E18&lt;=EOMONTH(N$4,0),$F18&gt;=N$4),IF(Plan!$G15="Hito","◆",1),""))</f>
        <v/>
      </c>
      <c r="O18" s="38" t="str">
        <f aca="false">IF(OR($E18="",$F18=""),"",IF(AND($E18&lt;=EOMONTH(O$4,0),$F18&gt;=O$4),IF(Plan!$G15="Hito","◆",1),""))</f>
        <v/>
      </c>
      <c r="P18" s="38" t="str">
        <f aca="false">IF(OR($E18="",$F18=""),"",IF(AND($E18&lt;=EOMONTH(P$4,0),$F18&gt;=P$4),IF(Plan!$G15="Hito","◆",1),""))</f>
        <v/>
      </c>
      <c r="Q18" s="38" t="str">
        <f aca="false">IF(OR($E18="",$F18=""),"",IF(AND($E18&lt;=EOMONTH(Q$4,0),$F18&gt;=Q$4),IF(Plan!$G15="Hito","◆",1),""))</f>
        <v/>
      </c>
      <c r="R18" s="38" t="str">
        <f aca="false">IF(OR($E18="",$F18=""),"",IF(AND($E18&lt;=EOMONTH(R$4,0),$F18&gt;=R$4),IF(Plan!$G15="Hito","◆",1),""))</f>
        <v/>
      </c>
      <c r="S18" s="38" t="str">
        <f aca="false">IF(OR($E18="",$F18=""),"",IF(AND($E18&lt;=EOMONTH(S$4,0),$F18&gt;=S$4),IF(Plan!$G15="Hito","◆",1),""))</f>
        <v/>
      </c>
      <c r="T18" s="38" t="str">
        <f aca="false">IF(OR($E18="",$F18=""),"",IF(AND($E18&lt;=EOMONTH(T$4,0),$F18&gt;=T$4),IF(Plan!$G15="Hito","◆",1),""))</f>
        <v/>
      </c>
      <c r="U18" s="38" t="str">
        <f aca="false">IF(OR($E18="",$F18=""),"",IF(AND($E18&lt;=EOMONTH(U$4,0),$F18&gt;=U$4),IF(Plan!$G15="Hito","◆",1),""))</f>
        <v/>
      </c>
      <c r="V18" s="38" t="str">
        <f aca="false">IF(OR($E18="",$F18=""),"",IF(AND($E18&lt;=EOMONTH(V$4,0),$F18&gt;=V$4),IF(Plan!$G15="Hito","◆",1),""))</f>
        <v/>
      </c>
      <c r="W18" s="38" t="str">
        <f aca="false">IF(OR($E18="",$F18=""),"",IF(AND($E18&lt;=EOMONTH(W$4,0),$F18&gt;=W$4),IF(Plan!$G15="Hito","◆",1),""))</f>
        <v/>
      </c>
      <c r="X18" s="38" t="str">
        <f aca="false">IF(OR($E18="",$F18=""),"",IF(AND($E18&lt;=EOMONTH(X$4,0),$F18&gt;=X$4),IF(Plan!$G15="Hito","◆",1),""))</f>
        <v/>
      </c>
    </row>
    <row r="19" customFormat="false" ht="15" hidden="false" customHeight="false" outlineLevel="0" collapsed="false">
      <c r="A19" s="36" t="str">
        <f aca="false">IF(Plan!A16="","",Plan!A16)</f>
        <v>2 · Piloto Ondupet</v>
      </c>
      <c r="B19" s="36" t="str">
        <f aca="false">IF(Plan!B16="","",Plan!B16)</f>
        <v>Levantar y estandarizar el calendario de turnos y paradas</v>
      </c>
      <c r="C19" s="36" t="str">
        <f aca="false">IF(Plan!C16="","",Plan!C16)</f>
        <v>Ondupet</v>
      </c>
      <c r="D19" s="36" t="str">
        <f aca="false">IF(Plan!F16="","",Plan!F16)</f>
        <v>Responsable de planificación de planta</v>
      </c>
      <c r="E19" s="37" t="n">
        <f aca="false">IF(Plan!H16="","",Plan!H16)</f>
        <v>46482</v>
      </c>
      <c r="F19" s="37" t="n">
        <f aca="false">IF(Plan!I16="","",Plan!I16)</f>
        <v>46535</v>
      </c>
      <c r="G19" s="38" t="str">
        <f aca="false">IF(OR($E19="",$F19=""),"",IF(AND($E19&lt;=EOMONTH(G$4,0),$F19&gt;=G$4),IF(Plan!$G16="Hito","◆",1),""))</f>
        <v/>
      </c>
      <c r="H19" s="38" t="str">
        <f aca="false">IF(OR($E19="",$F19=""),"",IF(AND($E19&lt;=EOMONTH(H$4,0),$F19&gt;=H$4),IF(Plan!$G16="Hito","◆",1),""))</f>
        <v/>
      </c>
      <c r="I19" s="38" t="str">
        <f aca="false">IF(OR($E19="",$F19=""),"",IF(AND($E19&lt;=EOMONTH(I$4,0),$F19&gt;=I$4),IF(Plan!$G16="Hito","◆",1),""))</f>
        <v/>
      </c>
      <c r="J19" s="38" t="n">
        <f aca="false">IF(OR($E19="",$F19=""),"",IF(AND($E19&lt;=EOMONTH(J$4,0),$F19&gt;=J$4),IF(Plan!$G16="Hito","◆",1),""))</f>
        <v>1</v>
      </c>
      <c r="K19" s="38" t="n">
        <f aca="false">IF(OR($E19="",$F19=""),"",IF(AND($E19&lt;=EOMONTH(K$4,0),$F19&gt;=K$4),IF(Plan!$G16="Hito","◆",1),""))</f>
        <v>1</v>
      </c>
      <c r="L19" s="38" t="str">
        <f aca="false">IF(OR($E19="",$F19=""),"",IF(AND($E19&lt;=EOMONTH(L$4,0),$F19&gt;=L$4),IF(Plan!$G16="Hito","◆",1),""))</f>
        <v/>
      </c>
      <c r="M19" s="38" t="str">
        <f aca="false">IF(OR($E19="",$F19=""),"",IF(AND($E19&lt;=EOMONTH(M$4,0),$F19&gt;=M$4),IF(Plan!$G16="Hito","◆",1),""))</f>
        <v/>
      </c>
      <c r="N19" s="38" t="str">
        <f aca="false">IF(OR($E19="",$F19=""),"",IF(AND($E19&lt;=EOMONTH(N$4,0),$F19&gt;=N$4),IF(Plan!$G16="Hito","◆",1),""))</f>
        <v/>
      </c>
      <c r="O19" s="38" t="str">
        <f aca="false">IF(OR($E19="",$F19=""),"",IF(AND($E19&lt;=EOMONTH(O$4,0),$F19&gt;=O$4),IF(Plan!$G16="Hito","◆",1),""))</f>
        <v/>
      </c>
      <c r="P19" s="38" t="str">
        <f aca="false">IF(OR($E19="",$F19=""),"",IF(AND($E19&lt;=EOMONTH(P$4,0),$F19&gt;=P$4),IF(Plan!$G16="Hito","◆",1),""))</f>
        <v/>
      </c>
      <c r="Q19" s="38" t="str">
        <f aca="false">IF(OR($E19="",$F19=""),"",IF(AND($E19&lt;=EOMONTH(Q$4,0),$F19&gt;=Q$4),IF(Plan!$G16="Hito","◆",1),""))</f>
        <v/>
      </c>
      <c r="R19" s="38" t="str">
        <f aca="false">IF(OR($E19="",$F19=""),"",IF(AND($E19&lt;=EOMONTH(R$4,0),$F19&gt;=R$4),IF(Plan!$G16="Hito","◆",1),""))</f>
        <v/>
      </c>
      <c r="S19" s="38" t="str">
        <f aca="false">IF(OR($E19="",$F19=""),"",IF(AND($E19&lt;=EOMONTH(S$4,0),$F19&gt;=S$4),IF(Plan!$G16="Hito","◆",1),""))</f>
        <v/>
      </c>
      <c r="T19" s="38" t="str">
        <f aca="false">IF(OR($E19="",$F19=""),"",IF(AND($E19&lt;=EOMONTH(T$4,0),$F19&gt;=T$4),IF(Plan!$G16="Hito","◆",1),""))</f>
        <v/>
      </c>
      <c r="U19" s="38" t="str">
        <f aca="false">IF(OR($E19="",$F19=""),"",IF(AND($E19&lt;=EOMONTH(U$4,0),$F19&gt;=U$4),IF(Plan!$G16="Hito","◆",1),""))</f>
        <v/>
      </c>
      <c r="V19" s="38" t="str">
        <f aca="false">IF(OR($E19="",$F19=""),"",IF(AND($E19&lt;=EOMONTH(V$4,0),$F19&gt;=V$4),IF(Plan!$G16="Hito","◆",1),""))</f>
        <v/>
      </c>
      <c r="W19" s="38" t="str">
        <f aca="false">IF(OR($E19="",$F19=""),"",IF(AND($E19&lt;=EOMONTH(W$4,0),$F19&gt;=W$4),IF(Plan!$G16="Hito","◆",1),""))</f>
        <v/>
      </c>
      <c r="X19" s="38" t="str">
        <f aca="false">IF(OR($E19="",$F19=""),"",IF(AND($E19&lt;=EOMONTH(X$4,0),$F19&gt;=X$4),IF(Plan!$G16="Hito","◆",1),""))</f>
        <v/>
      </c>
    </row>
    <row r="20" customFormat="false" ht="15" hidden="false" customHeight="false" outlineLevel="0" collapsed="false">
      <c r="A20" s="36" t="str">
        <f aca="false">IF(Plan!A17="","",Plan!A17)</f>
        <v>2 · Piloto Ondupet</v>
      </c>
      <c r="B20" s="36" t="str">
        <f aca="false">IF(Plan!B17="","",Plan!B17)</f>
        <v>Calendario de previsión con día de cierre y mes en curso congelado</v>
      </c>
      <c r="C20" s="36" t="str">
        <f aca="false">IF(Plan!C17="","",Plan!C17)</f>
        <v>Ondupet</v>
      </c>
      <c r="D20" s="36" t="str">
        <f aca="false">IF(Plan!F17="","",Plan!F17)</f>
        <v>Responsable de planificación de planta</v>
      </c>
      <c r="E20" s="37" t="n">
        <f aca="false">IF(Plan!H17="","",Plan!H17)</f>
        <v>46419</v>
      </c>
      <c r="F20" s="37" t="n">
        <f aca="false">IF(Plan!I17="","",Plan!I17)</f>
        <v>46472</v>
      </c>
      <c r="G20" s="38" t="str">
        <f aca="false">IF(OR($E20="",$F20=""),"",IF(AND($E20&lt;=EOMONTH(G$4,0),$F20&gt;=G$4),IF(Plan!$G17="Hito","◆",1),""))</f>
        <v/>
      </c>
      <c r="H20" s="38" t="n">
        <f aca="false">IF(OR($E20="",$F20=""),"",IF(AND($E20&lt;=EOMONTH(H$4,0),$F20&gt;=H$4),IF(Plan!$G17="Hito","◆",1),""))</f>
        <v>1</v>
      </c>
      <c r="I20" s="38" t="n">
        <f aca="false">IF(OR($E20="",$F20=""),"",IF(AND($E20&lt;=EOMONTH(I$4,0),$F20&gt;=I$4),IF(Plan!$G17="Hito","◆",1),""))</f>
        <v>1</v>
      </c>
      <c r="J20" s="38" t="str">
        <f aca="false">IF(OR($E20="",$F20=""),"",IF(AND($E20&lt;=EOMONTH(J$4,0),$F20&gt;=J$4),IF(Plan!$G17="Hito","◆",1),""))</f>
        <v/>
      </c>
      <c r="K20" s="38" t="str">
        <f aca="false">IF(OR($E20="",$F20=""),"",IF(AND($E20&lt;=EOMONTH(K$4,0),$F20&gt;=K$4),IF(Plan!$G17="Hito","◆",1),""))</f>
        <v/>
      </c>
      <c r="L20" s="38" t="str">
        <f aca="false">IF(OR($E20="",$F20=""),"",IF(AND($E20&lt;=EOMONTH(L$4,0),$F20&gt;=L$4),IF(Plan!$G17="Hito","◆",1),""))</f>
        <v/>
      </c>
      <c r="M20" s="38" t="str">
        <f aca="false">IF(OR($E20="",$F20=""),"",IF(AND($E20&lt;=EOMONTH(M$4,0),$F20&gt;=M$4),IF(Plan!$G17="Hito","◆",1),""))</f>
        <v/>
      </c>
      <c r="N20" s="38" t="str">
        <f aca="false">IF(OR($E20="",$F20=""),"",IF(AND($E20&lt;=EOMONTH(N$4,0),$F20&gt;=N$4),IF(Plan!$G17="Hito","◆",1),""))</f>
        <v/>
      </c>
      <c r="O20" s="38" t="str">
        <f aca="false">IF(OR($E20="",$F20=""),"",IF(AND($E20&lt;=EOMONTH(O$4,0),$F20&gt;=O$4),IF(Plan!$G17="Hito","◆",1),""))</f>
        <v/>
      </c>
      <c r="P20" s="38" t="str">
        <f aca="false">IF(OR($E20="",$F20=""),"",IF(AND($E20&lt;=EOMONTH(P$4,0),$F20&gt;=P$4),IF(Plan!$G17="Hito","◆",1),""))</f>
        <v/>
      </c>
      <c r="Q20" s="38" t="str">
        <f aca="false">IF(OR($E20="",$F20=""),"",IF(AND($E20&lt;=EOMONTH(Q$4,0),$F20&gt;=Q$4),IF(Plan!$G17="Hito","◆",1),""))</f>
        <v/>
      </c>
      <c r="R20" s="38" t="str">
        <f aca="false">IF(OR($E20="",$F20=""),"",IF(AND($E20&lt;=EOMONTH(R$4,0),$F20&gt;=R$4),IF(Plan!$G17="Hito","◆",1),""))</f>
        <v/>
      </c>
      <c r="S20" s="38" t="str">
        <f aca="false">IF(OR($E20="",$F20=""),"",IF(AND($E20&lt;=EOMONTH(S$4,0),$F20&gt;=S$4),IF(Plan!$G17="Hito","◆",1),""))</f>
        <v/>
      </c>
      <c r="T20" s="38" t="str">
        <f aca="false">IF(OR($E20="",$F20=""),"",IF(AND($E20&lt;=EOMONTH(T$4,0),$F20&gt;=T$4),IF(Plan!$G17="Hito","◆",1),""))</f>
        <v/>
      </c>
      <c r="U20" s="38" t="str">
        <f aca="false">IF(OR($E20="",$F20=""),"",IF(AND($E20&lt;=EOMONTH(U$4,0),$F20&gt;=U$4),IF(Plan!$G17="Hito","◆",1),""))</f>
        <v/>
      </c>
      <c r="V20" s="38" t="str">
        <f aca="false">IF(OR($E20="",$F20=""),"",IF(AND($E20&lt;=EOMONTH(V$4,0),$F20&gt;=V$4),IF(Plan!$G17="Hito","◆",1),""))</f>
        <v/>
      </c>
      <c r="W20" s="38" t="str">
        <f aca="false">IF(OR($E20="",$F20=""),"",IF(AND($E20&lt;=EOMONTH(W$4,0),$F20&gt;=W$4),IF(Plan!$G17="Hito","◆",1),""))</f>
        <v/>
      </c>
      <c r="X20" s="38" t="str">
        <f aca="false">IF(OR($E20="",$F20=""),"",IF(AND($E20&lt;=EOMONTH(X$4,0),$F20&gt;=X$4),IF(Plan!$G17="Hito","◆",1),""))</f>
        <v/>
      </c>
    </row>
    <row r="21" customFormat="false" ht="15" hidden="false" customHeight="false" outlineLevel="0" collapsed="false">
      <c r="A21" s="36" t="str">
        <f aca="false">IF(Plan!A18="","",Plan!A18)</f>
        <v>2 · Piloto Ondupet</v>
      </c>
      <c r="B21" s="36" t="str">
        <f aca="false">IF(Plan!B18="","",Plan!B18)</f>
        <v>Primer cierre de previsión en fecha</v>
      </c>
      <c r="C21" s="36" t="str">
        <f aca="false">IF(Plan!C18="","",Plan!C18)</f>
        <v>Ondupet</v>
      </c>
      <c r="D21" s="36" t="str">
        <f aca="false">IF(Plan!F18="","",Plan!F18)</f>
        <v>Responsable de planificación de planta</v>
      </c>
      <c r="E21" s="37" t="n">
        <f aca="false">IF(Plan!H18="","",Plan!H18)</f>
        <v>46477</v>
      </c>
      <c r="F21" s="37" t="n">
        <f aca="false">IF(Plan!I18="","",Plan!I18)</f>
        <v>46477</v>
      </c>
      <c r="G21" s="38" t="str">
        <f aca="false">IF(OR($E21="",$F21=""),"",IF(AND($E21&lt;=EOMONTH(G$4,0),$F21&gt;=G$4),IF(Plan!$G18="Hito","◆",1),""))</f>
        <v/>
      </c>
      <c r="H21" s="38" t="str">
        <f aca="false">IF(OR($E21="",$F21=""),"",IF(AND($E21&lt;=EOMONTH(H$4,0),$F21&gt;=H$4),IF(Plan!$G18="Hito","◆",1),""))</f>
        <v/>
      </c>
      <c r="I21" s="38" t="str">
        <f aca="false">IF(OR($E21="",$F21=""),"",IF(AND($E21&lt;=EOMONTH(I$4,0),$F21&gt;=I$4),IF(Plan!$G18="Hito","◆",1),""))</f>
        <v>◆</v>
      </c>
      <c r="J21" s="38" t="str">
        <f aca="false">IF(OR($E21="",$F21=""),"",IF(AND($E21&lt;=EOMONTH(J$4,0),$F21&gt;=J$4),IF(Plan!$G18="Hito","◆",1),""))</f>
        <v/>
      </c>
      <c r="K21" s="38" t="str">
        <f aca="false">IF(OR($E21="",$F21=""),"",IF(AND($E21&lt;=EOMONTH(K$4,0),$F21&gt;=K$4),IF(Plan!$G18="Hito","◆",1),""))</f>
        <v/>
      </c>
      <c r="L21" s="38" t="str">
        <f aca="false">IF(OR($E21="",$F21=""),"",IF(AND($E21&lt;=EOMONTH(L$4,0),$F21&gt;=L$4),IF(Plan!$G18="Hito","◆",1),""))</f>
        <v/>
      </c>
      <c r="M21" s="38" t="str">
        <f aca="false">IF(OR($E21="",$F21=""),"",IF(AND($E21&lt;=EOMONTH(M$4,0),$F21&gt;=M$4),IF(Plan!$G18="Hito","◆",1),""))</f>
        <v/>
      </c>
      <c r="N21" s="38" t="str">
        <f aca="false">IF(OR($E21="",$F21=""),"",IF(AND($E21&lt;=EOMONTH(N$4,0),$F21&gt;=N$4),IF(Plan!$G18="Hito","◆",1),""))</f>
        <v/>
      </c>
      <c r="O21" s="38" t="str">
        <f aca="false">IF(OR($E21="",$F21=""),"",IF(AND($E21&lt;=EOMONTH(O$4,0),$F21&gt;=O$4),IF(Plan!$G18="Hito","◆",1),""))</f>
        <v/>
      </c>
      <c r="P21" s="38" t="str">
        <f aca="false">IF(OR($E21="",$F21=""),"",IF(AND($E21&lt;=EOMONTH(P$4,0),$F21&gt;=P$4),IF(Plan!$G18="Hito","◆",1),""))</f>
        <v/>
      </c>
      <c r="Q21" s="38" t="str">
        <f aca="false">IF(OR($E21="",$F21=""),"",IF(AND($E21&lt;=EOMONTH(Q$4,0),$F21&gt;=Q$4),IF(Plan!$G18="Hito","◆",1),""))</f>
        <v/>
      </c>
      <c r="R21" s="38" t="str">
        <f aca="false">IF(OR($E21="",$F21=""),"",IF(AND($E21&lt;=EOMONTH(R$4,0),$F21&gt;=R$4),IF(Plan!$G18="Hito","◆",1),""))</f>
        <v/>
      </c>
      <c r="S21" s="38" t="str">
        <f aca="false">IF(OR($E21="",$F21=""),"",IF(AND($E21&lt;=EOMONTH(S$4,0),$F21&gt;=S$4),IF(Plan!$G18="Hito","◆",1),""))</f>
        <v/>
      </c>
      <c r="T21" s="38" t="str">
        <f aca="false">IF(OR($E21="",$F21=""),"",IF(AND($E21&lt;=EOMONTH(T$4,0),$F21&gt;=T$4),IF(Plan!$G18="Hito","◆",1),""))</f>
        <v/>
      </c>
      <c r="U21" s="38" t="str">
        <f aca="false">IF(OR($E21="",$F21=""),"",IF(AND($E21&lt;=EOMONTH(U$4,0),$F21&gt;=U$4),IF(Plan!$G18="Hito","◆",1),""))</f>
        <v/>
      </c>
      <c r="V21" s="38" t="str">
        <f aca="false">IF(OR($E21="",$F21=""),"",IF(AND($E21&lt;=EOMONTH(V$4,0),$F21&gt;=V$4),IF(Plan!$G18="Hito","◆",1),""))</f>
        <v/>
      </c>
      <c r="W21" s="38" t="str">
        <f aca="false">IF(OR($E21="",$F21=""),"",IF(AND($E21&lt;=EOMONTH(W$4,0),$F21&gt;=W$4),IF(Plan!$G18="Hito","◆",1),""))</f>
        <v/>
      </c>
      <c r="X21" s="38" t="str">
        <f aca="false">IF(OR($E21="",$F21=""),"",IF(AND($E21&lt;=EOMONTH(X$4,0),$F21&gt;=X$4),IF(Plan!$G18="Hito","◆",1),""))</f>
        <v/>
      </c>
    </row>
    <row r="22" customFormat="false" ht="15" hidden="false" customHeight="false" outlineLevel="0" collapsed="false">
      <c r="A22" s="36" t="str">
        <f aca="false">IF(Plan!A19="","",Plan!A19)</f>
        <v>2 · Piloto Ondupet</v>
      </c>
      <c r="B22" s="36" t="str">
        <f aca="false">IF(Plan!B19="","",Plan!B19)</f>
        <v>Reunión mensual de consenso con revisión de temporales</v>
      </c>
      <c r="C22" s="36" t="str">
        <f aca="false">IF(Plan!C19="","",Plan!C19)</f>
        <v>Ondupet</v>
      </c>
      <c r="D22" s="36" t="str">
        <f aca="false">IF(Plan!F19="","",Plan!F19)</f>
        <v>Coordinador/a de S&amp;OP e intercompany</v>
      </c>
      <c r="E22" s="37" t="n">
        <f aca="false">IF(Plan!H19="","",Plan!H19)</f>
        <v>46447</v>
      </c>
      <c r="F22" s="37" t="n">
        <f aca="false">IF(Plan!I19="","",Plan!I19)</f>
        <v>46507</v>
      </c>
      <c r="G22" s="38" t="str">
        <f aca="false">IF(OR($E22="",$F22=""),"",IF(AND($E22&lt;=EOMONTH(G$4,0),$F22&gt;=G$4),IF(Plan!$G19="Hito","◆",1),""))</f>
        <v/>
      </c>
      <c r="H22" s="38" t="str">
        <f aca="false">IF(OR($E22="",$F22=""),"",IF(AND($E22&lt;=EOMONTH(H$4,0),$F22&gt;=H$4),IF(Plan!$G19="Hito","◆",1),""))</f>
        <v/>
      </c>
      <c r="I22" s="38" t="n">
        <f aca="false">IF(OR($E22="",$F22=""),"",IF(AND($E22&lt;=EOMONTH(I$4,0),$F22&gt;=I$4),IF(Plan!$G19="Hito","◆",1),""))</f>
        <v>1</v>
      </c>
      <c r="J22" s="38" t="n">
        <f aca="false">IF(OR($E22="",$F22=""),"",IF(AND($E22&lt;=EOMONTH(J$4,0),$F22&gt;=J$4),IF(Plan!$G19="Hito","◆",1),""))</f>
        <v>1</v>
      </c>
      <c r="K22" s="38" t="str">
        <f aca="false">IF(OR($E22="",$F22=""),"",IF(AND($E22&lt;=EOMONTH(K$4,0),$F22&gt;=K$4),IF(Plan!$G19="Hito","◆",1),""))</f>
        <v/>
      </c>
      <c r="L22" s="38" t="str">
        <f aca="false">IF(OR($E22="",$F22=""),"",IF(AND($E22&lt;=EOMONTH(L$4,0),$F22&gt;=L$4),IF(Plan!$G19="Hito","◆",1),""))</f>
        <v/>
      </c>
      <c r="M22" s="38" t="str">
        <f aca="false">IF(OR($E22="",$F22=""),"",IF(AND($E22&lt;=EOMONTH(M$4,0),$F22&gt;=M$4),IF(Plan!$G19="Hito","◆",1),""))</f>
        <v/>
      </c>
      <c r="N22" s="38" t="str">
        <f aca="false">IF(OR($E22="",$F22=""),"",IF(AND($E22&lt;=EOMONTH(N$4,0),$F22&gt;=N$4),IF(Plan!$G19="Hito","◆",1),""))</f>
        <v/>
      </c>
      <c r="O22" s="38" t="str">
        <f aca="false">IF(OR($E22="",$F22=""),"",IF(AND($E22&lt;=EOMONTH(O$4,0),$F22&gt;=O$4),IF(Plan!$G19="Hito","◆",1),""))</f>
        <v/>
      </c>
      <c r="P22" s="38" t="str">
        <f aca="false">IF(OR($E22="",$F22=""),"",IF(AND($E22&lt;=EOMONTH(P$4,0),$F22&gt;=P$4),IF(Plan!$G19="Hito","◆",1),""))</f>
        <v/>
      </c>
      <c r="Q22" s="38" t="str">
        <f aca="false">IF(OR($E22="",$F22=""),"",IF(AND($E22&lt;=EOMONTH(Q$4,0),$F22&gt;=Q$4),IF(Plan!$G19="Hito","◆",1),""))</f>
        <v/>
      </c>
      <c r="R22" s="38" t="str">
        <f aca="false">IF(OR($E22="",$F22=""),"",IF(AND($E22&lt;=EOMONTH(R$4,0),$F22&gt;=R$4),IF(Plan!$G19="Hito","◆",1),""))</f>
        <v/>
      </c>
      <c r="S22" s="38" t="str">
        <f aca="false">IF(OR($E22="",$F22=""),"",IF(AND($E22&lt;=EOMONTH(S$4,0),$F22&gt;=S$4),IF(Plan!$G19="Hito","◆",1),""))</f>
        <v/>
      </c>
      <c r="T22" s="38" t="str">
        <f aca="false">IF(OR($E22="",$F22=""),"",IF(AND($E22&lt;=EOMONTH(T$4,0),$F22&gt;=T$4),IF(Plan!$G19="Hito","◆",1),""))</f>
        <v/>
      </c>
      <c r="U22" s="38" t="str">
        <f aca="false">IF(OR($E22="",$F22=""),"",IF(AND($E22&lt;=EOMONTH(U$4,0),$F22&gt;=U$4),IF(Plan!$G19="Hito","◆",1),""))</f>
        <v/>
      </c>
      <c r="V22" s="38" t="str">
        <f aca="false">IF(OR($E22="",$F22=""),"",IF(AND($E22&lt;=EOMONTH(V$4,0),$F22&gt;=V$4),IF(Plan!$G19="Hito","◆",1),""))</f>
        <v/>
      </c>
      <c r="W22" s="38" t="str">
        <f aca="false">IF(OR($E22="",$F22=""),"",IF(AND($E22&lt;=EOMONTH(W$4,0),$F22&gt;=W$4),IF(Plan!$G19="Hito","◆",1),""))</f>
        <v/>
      </c>
      <c r="X22" s="38" t="str">
        <f aca="false">IF(OR($E22="",$F22=""),"",IF(AND($E22&lt;=EOMONTH(X$4,0),$F22&gt;=X$4),IF(Plan!$G19="Hito","◆",1),""))</f>
        <v/>
      </c>
    </row>
    <row r="23" customFormat="false" ht="15" hidden="false" customHeight="false" outlineLevel="0" collapsed="false">
      <c r="A23" s="36" t="str">
        <f aca="false">IF(Plan!A20="","",Plan!A20)</f>
        <v>2 · Piloto Ondupet</v>
      </c>
      <c r="B23" s="36" t="str">
        <f aca="false">IF(Plan!B20="","",Plan!B20)</f>
        <v>Definir qué es un agotado y registrarlo a diario con motivo</v>
      </c>
      <c r="C23" s="36" t="str">
        <f aca="false">IF(Plan!C20="","",Plan!C20)</f>
        <v>Ondupet</v>
      </c>
      <c r="D23" s="36" t="str">
        <f aca="false">IF(Plan!F20="","",Plan!F20)</f>
        <v>Planificador/a de demanda y cartera</v>
      </c>
      <c r="E23" s="37" t="n">
        <f aca="false">IF(Plan!H20="","",Plan!H20)</f>
        <v>46447</v>
      </c>
      <c r="F23" s="37" t="n">
        <f aca="false">IF(Plan!I20="","",Plan!I20)</f>
        <v>46507</v>
      </c>
      <c r="G23" s="38" t="str">
        <f aca="false">IF(OR($E23="",$F23=""),"",IF(AND($E23&lt;=EOMONTH(G$4,0),$F23&gt;=G$4),IF(Plan!$G20="Hito","◆",1),""))</f>
        <v/>
      </c>
      <c r="H23" s="38" t="str">
        <f aca="false">IF(OR($E23="",$F23=""),"",IF(AND($E23&lt;=EOMONTH(H$4,0),$F23&gt;=H$4),IF(Plan!$G20="Hito","◆",1),""))</f>
        <v/>
      </c>
      <c r="I23" s="38" t="n">
        <f aca="false">IF(OR($E23="",$F23=""),"",IF(AND($E23&lt;=EOMONTH(I$4,0),$F23&gt;=I$4),IF(Plan!$G20="Hito","◆",1),""))</f>
        <v>1</v>
      </c>
      <c r="J23" s="38" t="n">
        <f aca="false">IF(OR($E23="",$F23=""),"",IF(AND($E23&lt;=EOMONTH(J$4,0),$F23&gt;=J$4),IF(Plan!$G20="Hito","◆",1),""))</f>
        <v>1</v>
      </c>
      <c r="K23" s="38" t="str">
        <f aca="false">IF(OR($E23="",$F23=""),"",IF(AND($E23&lt;=EOMONTH(K$4,0),$F23&gt;=K$4),IF(Plan!$G20="Hito","◆",1),""))</f>
        <v/>
      </c>
      <c r="L23" s="38" t="str">
        <f aca="false">IF(OR($E23="",$F23=""),"",IF(AND($E23&lt;=EOMONTH(L$4,0),$F23&gt;=L$4),IF(Plan!$G20="Hito","◆",1),""))</f>
        <v/>
      </c>
      <c r="M23" s="38" t="str">
        <f aca="false">IF(OR($E23="",$F23=""),"",IF(AND($E23&lt;=EOMONTH(M$4,0),$F23&gt;=M$4),IF(Plan!$G20="Hito","◆",1),""))</f>
        <v/>
      </c>
      <c r="N23" s="38" t="str">
        <f aca="false">IF(OR($E23="",$F23=""),"",IF(AND($E23&lt;=EOMONTH(N$4,0),$F23&gt;=N$4),IF(Plan!$G20="Hito","◆",1),""))</f>
        <v/>
      </c>
      <c r="O23" s="38" t="str">
        <f aca="false">IF(OR($E23="",$F23=""),"",IF(AND($E23&lt;=EOMONTH(O$4,0),$F23&gt;=O$4),IF(Plan!$G20="Hito","◆",1),""))</f>
        <v/>
      </c>
      <c r="P23" s="38" t="str">
        <f aca="false">IF(OR($E23="",$F23=""),"",IF(AND($E23&lt;=EOMONTH(P$4,0),$F23&gt;=P$4),IF(Plan!$G20="Hito","◆",1),""))</f>
        <v/>
      </c>
      <c r="Q23" s="38" t="str">
        <f aca="false">IF(OR($E23="",$F23=""),"",IF(AND($E23&lt;=EOMONTH(Q$4,0),$F23&gt;=Q$4),IF(Plan!$G20="Hito","◆",1),""))</f>
        <v/>
      </c>
      <c r="R23" s="38" t="str">
        <f aca="false">IF(OR($E23="",$F23=""),"",IF(AND($E23&lt;=EOMONTH(R$4,0),$F23&gt;=R$4),IF(Plan!$G20="Hito","◆",1),""))</f>
        <v/>
      </c>
      <c r="S23" s="38" t="str">
        <f aca="false">IF(OR($E23="",$F23=""),"",IF(AND($E23&lt;=EOMONTH(S$4,0),$F23&gt;=S$4),IF(Plan!$G20="Hito","◆",1),""))</f>
        <v/>
      </c>
      <c r="T23" s="38" t="str">
        <f aca="false">IF(OR($E23="",$F23=""),"",IF(AND($E23&lt;=EOMONTH(T$4,0),$F23&gt;=T$4),IF(Plan!$G20="Hito","◆",1),""))</f>
        <v/>
      </c>
      <c r="U23" s="38" t="str">
        <f aca="false">IF(OR($E23="",$F23=""),"",IF(AND($E23&lt;=EOMONTH(U$4,0),$F23&gt;=U$4),IF(Plan!$G20="Hito","◆",1),""))</f>
        <v/>
      </c>
      <c r="V23" s="38" t="str">
        <f aca="false">IF(OR($E23="",$F23=""),"",IF(AND($E23&lt;=EOMONTH(V$4,0),$F23&gt;=V$4),IF(Plan!$G20="Hito","◆",1),""))</f>
        <v/>
      </c>
      <c r="W23" s="38" t="str">
        <f aca="false">IF(OR($E23="",$F23=""),"",IF(AND($E23&lt;=EOMONTH(W$4,0),$F23&gt;=W$4),IF(Plan!$G20="Hito","◆",1),""))</f>
        <v/>
      </c>
      <c r="X23" s="38" t="str">
        <f aca="false">IF(OR($E23="",$F23=""),"",IF(AND($E23&lt;=EOMONTH(X$4,0),$F23&gt;=X$4),IF(Plan!$G20="Hito","◆",1),""))</f>
        <v/>
      </c>
    </row>
    <row r="24" customFormat="false" ht="15" hidden="false" customHeight="false" outlineLevel="0" collapsed="false">
      <c r="A24" s="36" t="str">
        <f aca="false">IF(Plan!A21="","",Plan!A21)</f>
        <v>2 · Piloto Ondupet</v>
      </c>
      <c r="B24" s="36" t="str">
        <f aca="false">IF(Plan!B21="","",Plan!B21)</f>
        <v>KPI de precisión y sesgo con plan de acción por desviación</v>
      </c>
      <c r="C24" s="36" t="str">
        <f aca="false">IF(Plan!C21="","",Plan!C21)</f>
        <v>Ondupet</v>
      </c>
      <c r="D24" s="36" t="str">
        <f aca="false">IF(Plan!F21="","",Plan!F21)</f>
        <v>Planificador/a de demanda y cartera</v>
      </c>
      <c r="E24" s="37" t="n">
        <f aca="false">IF(Plan!H21="","",Plan!H21)</f>
        <v>46482</v>
      </c>
      <c r="F24" s="37" t="n">
        <f aca="false">IF(Plan!I21="","",Plan!I21)</f>
        <v>46535</v>
      </c>
      <c r="G24" s="38" t="str">
        <f aca="false">IF(OR($E24="",$F24=""),"",IF(AND($E24&lt;=EOMONTH(G$4,0),$F24&gt;=G$4),IF(Plan!$G21="Hito","◆",1),""))</f>
        <v/>
      </c>
      <c r="H24" s="38" t="str">
        <f aca="false">IF(OR($E24="",$F24=""),"",IF(AND($E24&lt;=EOMONTH(H$4,0),$F24&gt;=H$4),IF(Plan!$G21="Hito","◆",1),""))</f>
        <v/>
      </c>
      <c r="I24" s="38" t="str">
        <f aca="false">IF(OR($E24="",$F24=""),"",IF(AND($E24&lt;=EOMONTH(I$4,0),$F24&gt;=I$4),IF(Plan!$G21="Hito","◆",1),""))</f>
        <v/>
      </c>
      <c r="J24" s="38" t="n">
        <f aca="false">IF(OR($E24="",$F24=""),"",IF(AND($E24&lt;=EOMONTH(J$4,0),$F24&gt;=J$4),IF(Plan!$G21="Hito","◆",1),""))</f>
        <v>1</v>
      </c>
      <c r="K24" s="38" t="n">
        <f aca="false">IF(OR($E24="",$F24=""),"",IF(AND($E24&lt;=EOMONTH(K$4,0),$F24&gt;=K$4),IF(Plan!$G21="Hito","◆",1),""))</f>
        <v>1</v>
      </c>
      <c r="L24" s="38" t="str">
        <f aca="false">IF(OR($E24="",$F24=""),"",IF(AND($E24&lt;=EOMONTH(L$4,0),$F24&gt;=L$4),IF(Plan!$G21="Hito","◆",1),""))</f>
        <v/>
      </c>
      <c r="M24" s="38" t="str">
        <f aca="false">IF(OR($E24="",$F24=""),"",IF(AND($E24&lt;=EOMONTH(M$4,0),$F24&gt;=M$4),IF(Plan!$G21="Hito","◆",1),""))</f>
        <v/>
      </c>
      <c r="N24" s="38" t="str">
        <f aca="false">IF(OR($E24="",$F24=""),"",IF(AND($E24&lt;=EOMONTH(N$4,0),$F24&gt;=N$4),IF(Plan!$G21="Hito","◆",1),""))</f>
        <v/>
      </c>
      <c r="O24" s="38" t="str">
        <f aca="false">IF(OR($E24="",$F24=""),"",IF(AND($E24&lt;=EOMONTH(O$4,0),$F24&gt;=O$4),IF(Plan!$G21="Hito","◆",1),""))</f>
        <v/>
      </c>
      <c r="P24" s="38" t="str">
        <f aca="false">IF(OR($E24="",$F24=""),"",IF(AND($E24&lt;=EOMONTH(P$4,0),$F24&gt;=P$4),IF(Plan!$G21="Hito","◆",1),""))</f>
        <v/>
      </c>
      <c r="Q24" s="38" t="str">
        <f aca="false">IF(OR($E24="",$F24=""),"",IF(AND($E24&lt;=EOMONTH(Q$4,0),$F24&gt;=Q$4),IF(Plan!$G21="Hito","◆",1),""))</f>
        <v/>
      </c>
      <c r="R24" s="38" t="str">
        <f aca="false">IF(OR($E24="",$F24=""),"",IF(AND($E24&lt;=EOMONTH(R$4,0),$F24&gt;=R$4),IF(Plan!$G21="Hito","◆",1),""))</f>
        <v/>
      </c>
      <c r="S24" s="38" t="str">
        <f aca="false">IF(OR($E24="",$F24=""),"",IF(AND($E24&lt;=EOMONTH(S$4,0),$F24&gt;=S$4),IF(Plan!$G21="Hito","◆",1),""))</f>
        <v/>
      </c>
      <c r="T24" s="38" t="str">
        <f aca="false">IF(OR($E24="",$F24=""),"",IF(AND($E24&lt;=EOMONTH(T$4,0),$F24&gt;=T$4),IF(Plan!$G21="Hito","◆",1),""))</f>
        <v/>
      </c>
      <c r="U24" s="38" t="str">
        <f aca="false">IF(OR($E24="",$F24=""),"",IF(AND($E24&lt;=EOMONTH(U$4,0),$F24&gt;=U$4),IF(Plan!$G21="Hito","◆",1),""))</f>
        <v/>
      </c>
      <c r="V24" s="38" t="str">
        <f aca="false">IF(OR($E24="",$F24=""),"",IF(AND($E24&lt;=EOMONTH(V$4,0),$F24&gt;=V$4),IF(Plan!$G21="Hito","◆",1),""))</f>
        <v/>
      </c>
      <c r="W24" s="38" t="str">
        <f aca="false">IF(OR($E24="",$F24=""),"",IF(AND($E24&lt;=EOMONTH(W$4,0),$F24&gt;=W$4),IF(Plan!$G21="Hito","◆",1),""))</f>
        <v/>
      </c>
      <c r="X24" s="38" t="str">
        <f aca="false">IF(OR($E24="",$F24=""),"",IF(AND($E24&lt;=EOMONTH(X$4,0),$F24&gt;=X$4),IF(Plan!$G21="Hito","◆",1),""))</f>
        <v/>
      </c>
    </row>
    <row r="25" customFormat="false" ht="15" hidden="false" customHeight="false" outlineLevel="0" collapsed="false">
      <c r="A25" s="36" t="str">
        <f aca="false">IF(Plan!A22="","",Plan!A22)</f>
        <v>2 · Piloto Ondupet</v>
      </c>
      <c r="B25" s="36" t="str">
        <f aca="false">IF(Plan!B22="","",Plan!B22)</f>
        <v>Revisión única de cartera y uso de las dos fechas del pedido</v>
      </c>
      <c r="C25" s="36" t="str">
        <f aca="false">IF(Plan!C22="","",Plan!C22)</f>
        <v>Ondupet</v>
      </c>
      <c r="D25" s="36" t="str">
        <f aca="false">IF(Plan!F22="","",Plan!F22)</f>
        <v>Responsable de planificación de planta</v>
      </c>
      <c r="E25" s="37" t="n">
        <f aca="false">IF(Plan!H22="","",Plan!H22)</f>
        <v>46447</v>
      </c>
      <c r="F25" s="37" t="n">
        <f aca="false">IF(Plan!I22="","",Plan!I22)</f>
        <v>46507</v>
      </c>
      <c r="G25" s="38" t="str">
        <f aca="false">IF(OR($E25="",$F25=""),"",IF(AND($E25&lt;=EOMONTH(G$4,0),$F25&gt;=G$4),IF(Plan!$G22="Hito","◆",1),""))</f>
        <v/>
      </c>
      <c r="H25" s="38" t="str">
        <f aca="false">IF(OR($E25="",$F25=""),"",IF(AND($E25&lt;=EOMONTH(H$4,0),$F25&gt;=H$4),IF(Plan!$G22="Hito","◆",1),""))</f>
        <v/>
      </c>
      <c r="I25" s="38" t="n">
        <f aca="false">IF(OR($E25="",$F25=""),"",IF(AND($E25&lt;=EOMONTH(I$4,0),$F25&gt;=I$4),IF(Plan!$G22="Hito","◆",1),""))</f>
        <v>1</v>
      </c>
      <c r="J25" s="38" t="n">
        <f aca="false">IF(OR($E25="",$F25=""),"",IF(AND($E25&lt;=EOMONTH(J$4,0),$F25&gt;=J$4),IF(Plan!$G22="Hito","◆",1),""))</f>
        <v>1</v>
      </c>
      <c r="K25" s="38" t="str">
        <f aca="false">IF(OR($E25="",$F25=""),"",IF(AND($E25&lt;=EOMONTH(K$4,0),$F25&gt;=K$4),IF(Plan!$G22="Hito","◆",1),""))</f>
        <v/>
      </c>
      <c r="L25" s="38" t="str">
        <f aca="false">IF(OR($E25="",$F25=""),"",IF(AND($E25&lt;=EOMONTH(L$4,0),$F25&gt;=L$4),IF(Plan!$G22="Hito","◆",1),""))</f>
        <v/>
      </c>
      <c r="M25" s="38" t="str">
        <f aca="false">IF(OR($E25="",$F25=""),"",IF(AND($E25&lt;=EOMONTH(M$4,0),$F25&gt;=M$4),IF(Plan!$G22="Hito","◆",1),""))</f>
        <v/>
      </c>
      <c r="N25" s="38" t="str">
        <f aca="false">IF(OR($E25="",$F25=""),"",IF(AND($E25&lt;=EOMONTH(N$4,0),$F25&gt;=N$4),IF(Plan!$G22="Hito","◆",1),""))</f>
        <v/>
      </c>
      <c r="O25" s="38" t="str">
        <f aca="false">IF(OR($E25="",$F25=""),"",IF(AND($E25&lt;=EOMONTH(O$4,0),$F25&gt;=O$4),IF(Plan!$G22="Hito","◆",1),""))</f>
        <v/>
      </c>
      <c r="P25" s="38" t="str">
        <f aca="false">IF(OR($E25="",$F25=""),"",IF(AND($E25&lt;=EOMONTH(P$4,0),$F25&gt;=P$4),IF(Plan!$G22="Hito","◆",1),""))</f>
        <v/>
      </c>
      <c r="Q25" s="38" t="str">
        <f aca="false">IF(OR($E25="",$F25=""),"",IF(AND($E25&lt;=EOMONTH(Q$4,0),$F25&gt;=Q$4),IF(Plan!$G22="Hito","◆",1),""))</f>
        <v/>
      </c>
      <c r="R25" s="38" t="str">
        <f aca="false">IF(OR($E25="",$F25=""),"",IF(AND($E25&lt;=EOMONTH(R$4,0),$F25&gt;=R$4),IF(Plan!$G22="Hito","◆",1),""))</f>
        <v/>
      </c>
      <c r="S25" s="38" t="str">
        <f aca="false">IF(OR($E25="",$F25=""),"",IF(AND($E25&lt;=EOMONTH(S$4,0),$F25&gt;=S$4),IF(Plan!$G22="Hito","◆",1),""))</f>
        <v/>
      </c>
      <c r="T25" s="38" t="str">
        <f aca="false">IF(OR($E25="",$F25=""),"",IF(AND($E25&lt;=EOMONTH(T$4,0),$F25&gt;=T$4),IF(Plan!$G22="Hito","◆",1),""))</f>
        <v/>
      </c>
      <c r="U25" s="38" t="str">
        <f aca="false">IF(OR($E25="",$F25=""),"",IF(AND($E25&lt;=EOMONTH(U$4,0),$F25&gt;=U$4),IF(Plan!$G22="Hito","◆",1),""))</f>
        <v/>
      </c>
      <c r="V25" s="38" t="str">
        <f aca="false">IF(OR($E25="",$F25=""),"",IF(AND($E25&lt;=EOMONTH(V$4,0),$F25&gt;=V$4),IF(Plan!$G22="Hito","◆",1),""))</f>
        <v/>
      </c>
      <c r="W25" s="38" t="str">
        <f aca="false">IF(OR($E25="",$F25=""),"",IF(AND($E25&lt;=EOMONTH(W$4,0),$F25&gt;=W$4),IF(Plan!$G22="Hito","◆",1),""))</f>
        <v/>
      </c>
      <c r="X25" s="38" t="str">
        <f aca="false">IF(OR($E25="",$F25=""),"",IF(AND($E25&lt;=EOMONTH(X$4,0),$F25&gt;=X$4),IF(Plan!$G22="Hito","◆",1),""))</f>
        <v/>
      </c>
    </row>
    <row r="26" customFormat="false" ht="15" hidden="false" customHeight="false" outlineLevel="0" collapsed="false">
      <c r="A26" s="36" t="str">
        <f aca="false">IF(Plan!A23="","",Plan!A23)</f>
        <v>2 · Piloto Ondupet</v>
      </c>
      <c r="B26" s="36" t="str">
        <f aca="false">IF(Plan!B23="","",Plan!B23)</f>
        <v>Validación de cargas contra el pedido: cantidad y fecha</v>
      </c>
      <c r="C26" s="36" t="str">
        <f aca="false">IF(Plan!C23="","",Plan!C23)</f>
        <v>Ondupet</v>
      </c>
      <c r="D26" s="36" t="str">
        <f aca="false">IF(Plan!F23="","",Plan!F23)</f>
        <v>Logística / Expediciones</v>
      </c>
      <c r="E26" s="37" t="n">
        <f aca="false">IF(Plan!H23="","",Plan!H23)</f>
        <v>46482</v>
      </c>
      <c r="F26" s="37" t="n">
        <f aca="false">IF(Plan!I23="","",Plan!I23)</f>
        <v>46568</v>
      </c>
      <c r="G26" s="38" t="str">
        <f aca="false">IF(OR($E26="",$F26=""),"",IF(AND($E26&lt;=EOMONTH(G$4,0),$F26&gt;=G$4),IF(Plan!$G23="Hito","◆",1),""))</f>
        <v/>
      </c>
      <c r="H26" s="38" t="str">
        <f aca="false">IF(OR($E26="",$F26=""),"",IF(AND($E26&lt;=EOMONTH(H$4,0),$F26&gt;=H$4),IF(Plan!$G23="Hito","◆",1),""))</f>
        <v/>
      </c>
      <c r="I26" s="38" t="str">
        <f aca="false">IF(OR($E26="",$F26=""),"",IF(AND($E26&lt;=EOMONTH(I$4,0),$F26&gt;=I$4),IF(Plan!$G23="Hito","◆",1),""))</f>
        <v/>
      </c>
      <c r="J26" s="38" t="n">
        <f aca="false">IF(OR($E26="",$F26=""),"",IF(AND($E26&lt;=EOMONTH(J$4,0),$F26&gt;=J$4),IF(Plan!$G23="Hito","◆",1),""))</f>
        <v>1</v>
      </c>
      <c r="K26" s="38" t="n">
        <f aca="false">IF(OR($E26="",$F26=""),"",IF(AND($E26&lt;=EOMONTH(K$4,0),$F26&gt;=K$4),IF(Plan!$G23="Hito","◆",1),""))</f>
        <v>1</v>
      </c>
      <c r="L26" s="38" t="n">
        <f aca="false">IF(OR($E26="",$F26=""),"",IF(AND($E26&lt;=EOMONTH(L$4,0),$F26&gt;=L$4),IF(Plan!$G23="Hito","◆",1),""))</f>
        <v>1</v>
      </c>
      <c r="M26" s="38" t="str">
        <f aca="false">IF(OR($E26="",$F26=""),"",IF(AND($E26&lt;=EOMONTH(M$4,0),$F26&gt;=M$4),IF(Plan!$G23="Hito","◆",1),""))</f>
        <v/>
      </c>
      <c r="N26" s="38" t="str">
        <f aca="false">IF(OR($E26="",$F26=""),"",IF(AND($E26&lt;=EOMONTH(N$4,0),$F26&gt;=N$4),IF(Plan!$G23="Hito","◆",1),""))</f>
        <v/>
      </c>
      <c r="O26" s="38" t="str">
        <f aca="false">IF(OR($E26="",$F26=""),"",IF(AND($E26&lt;=EOMONTH(O$4,0),$F26&gt;=O$4),IF(Plan!$G23="Hito","◆",1),""))</f>
        <v/>
      </c>
      <c r="P26" s="38" t="str">
        <f aca="false">IF(OR($E26="",$F26=""),"",IF(AND($E26&lt;=EOMONTH(P$4,0),$F26&gt;=P$4),IF(Plan!$G23="Hito","◆",1),""))</f>
        <v/>
      </c>
      <c r="Q26" s="38" t="str">
        <f aca="false">IF(OR($E26="",$F26=""),"",IF(AND($E26&lt;=EOMONTH(Q$4,0),$F26&gt;=Q$4),IF(Plan!$G23="Hito","◆",1),""))</f>
        <v/>
      </c>
      <c r="R26" s="38" t="str">
        <f aca="false">IF(OR($E26="",$F26=""),"",IF(AND($E26&lt;=EOMONTH(R$4,0),$F26&gt;=R$4),IF(Plan!$G23="Hito","◆",1),""))</f>
        <v/>
      </c>
      <c r="S26" s="38" t="str">
        <f aca="false">IF(OR($E26="",$F26=""),"",IF(AND($E26&lt;=EOMONTH(S$4,0),$F26&gt;=S$4),IF(Plan!$G23="Hito","◆",1),""))</f>
        <v/>
      </c>
      <c r="T26" s="38" t="str">
        <f aca="false">IF(OR($E26="",$F26=""),"",IF(AND($E26&lt;=EOMONTH(T$4,0),$F26&gt;=T$4),IF(Plan!$G23="Hito","◆",1),""))</f>
        <v/>
      </c>
      <c r="U26" s="38" t="str">
        <f aca="false">IF(OR($E26="",$F26=""),"",IF(AND($E26&lt;=EOMONTH(U$4,0),$F26&gt;=U$4),IF(Plan!$G23="Hito","◆",1),""))</f>
        <v/>
      </c>
      <c r="V26" s="38" t="str">
        <f aca="false">IF(OR($E26="",$F26=""),"",IF(AND($E26&lt;=EOMONTH(V$4,0),$F26&gt;=V$4),IF(Plan!$G23="Hito","◆",1),""))</f>
        <v/>
      </c>
      <c r="W26" s="38" t="str">
        <f aca="false">IF(OR($E26="",$F26=""),"",IF(AND($E26&lt;=EOMONTH(W$4,0),$F26&gt;=W$4),IF(Plan!$G23="Hito","◆",1),""))</f>
        <v/>
      </c>
      <c r="X26" s="38" t="str">
        <f aca="false">IF(OR($E26="",$F26=""),"",IF(AND($E26&lt;=EOMONTH(X$4,0),$F26&gt;=X$4),IF(Plan!$G23="Hito","◆",1),""))</f>
        <v/>
      </c>
    </row>
    <row r="27" customFormat="false" ht="15" hidden="false" customHeight="false" outlineLevel="0" collapsed="false">
      <c r="A27" s="36" t="str">
        <f aca="false">IF(Plan!A24="","",Plan!A24)</f>
        <v>2 · Piloto Ondupet</v>
      </c>
      <c r="B27" s="36" t="str">
        <f aca="false">IF(Plan!B24="","",Plan!B24)</f>
        <v>Regla de saldado semanal con aviso a Planificación</v>
      </c>
      <c r="C27" s="36" t="str">
        <f aca="false">IF(Plan!C24="","",Plan!C24)</f>
        <v>Ondupet</v>
      </c>
      <c r="D27" s="36" t="str">
        <f aca="false">IF(Plan!F24="","",Plan!F24)</f>
        <v>Planificador/a de demanda y cartera</v>
      </c>
      <c r="E27" s="37" t="n">
        <f aca="false">IF(Plan!H24="","",Plan!H24)</f>
        <v>46482</v>
      </c>
      <c r="F27" s="37" t="n">
        <f aca="false">IF(Plan!I24="","",Plan!I24)</f>
        <v>46521</v>
      </c>
      <c r="G27" s="38" t="str">
        <f aca="false">IF(OR($E27="",$F27=""),"",IF(AND($E27&lt;=EOMONTH(G$4,0),$F27&gt;=G$4),IF(Plan!$G24="Hito","◆",1),""))</f>
        <v/>
      </c>
      <c r="H27" s="38" t="str">
        <f aca="false">IF(OR($E27="",$F27=""),"",IF(AND($E27&lt;=EOMONTH(H$4,0),$F27&gt;=H$4),IF(Plan!$G24="Hito","◆",1),""))</f>
        <v/>
      </c>
      <c r="I27" s="38" t="str">
        <f aca="false">IF(OR($E27="",$F27=""),"",IF(AND($E27&lt;=EOMONTH(I$4,0),$F27&gt;=I$4),IF(Plan!$G24="Hito","◆",1),""))</f>
        <v/>
      </c>
      <c r="J27" s="38" t="n">
        <f aca="false">IF(OR($E27="",$F27=""),"",IF(AND($E27&lt;=EOMONTH(J$4,0),$F27&gt;=J$4),IF(Plan!$G24="Hito","◆",1),""))</f>
        <v>1</v>
      </c>
      <c r="K27" s="38" t="n">
        <f aca="false">IF(OR($E27="",$F27=""),"",IF(AND($E27&lt;=EOMONTH(K$4,0),$F27&gt;=K$4),IF(Plan!$G24="Hito","◆",1),""))</f>
        <v>1</v>
      </c>
      <c r="L27" s="38" t="str">
        <f aca="false">IF(OR($E27="",$F27=""),"",IF(AND($E27&lt;=EOMONTH(L$4,0),$F27&gt;=L$4),IF(Plan!$G24="Hito","◆",1),""))</f>
        <v/>
      </c>
      <c r="M27" s="38" t="str">
        <f aca="false">IF(OR($E27="",$F27=""),"",IF(AND($E27&lt;=EOMONTH(M$4,0),$F27&gt;=M$4),IF(Plan!$G24="Hito","◆",1),""))</f>
        <v/>
      </c>
      <c r="N27" s="38" t="str">
        <f aca="false">IF(OR($E27="",$F27=""),"",IF(AND($E27&lt;=EOMONTH(N$4,0),$F27&gt;=N$4),IF(Plan!$G24="Hito","◆",1),""))</f>
        <v/>
      </c>
      <c r="O27" s="38" t="str">
        <f aca="false">IF(OR($E27="",$F27=""),"",IF(AND($E27&lt;=EOMONTH(O$4,0),$F27&gt;=O$4),IF(Plan!$G24="Hito","◆",1),""))</f>
        <v/>
      </c>
      <c r="P27" s="38" t="str">
        <f aca="false">IF(OR($E27="",$F27=""),"",IF(AND($E27&lt;=EOMONTH(P$4,0),$F27&gt;=P$4),IF(Plan!$G24="Hito","◆",1),""))</f>
        <v/>
      </c>
      <c r="Q27" s="38" t="str">
        <f aca="false">IF(OR($E27="",$F27=""),"",IF(AND($E27&lt;=EOMONTH(Q$4,0),$F27&gt;=Q$4),IF(Plan!$G24="Hito","◆",1),""))</f>
        <v/>
      </c>
      <c r="R27" s="38" t="str">
        <f aca="false">IF(OR($E27="",$F27=""),"",IF(AND($E27&lt;=EOMONTH(R$4,0),$F27&gt;=R$4),IF(Plan!$G24="Hito","◆",1),""))</f>
        <v/>
      </c>
      <c r="S27" s="38" t="str">
        <f aca="false">IF(OR($E27="",$F27=""),"",IF(AND($E27&lt;=EOMONTH(S$4,0),$F27&gt;=S$4),IF(Plan!$G24="Hito","◆",1),""))</f>
        <v/>
      </c>
      <c r="T27" s="38" t="str">
        <f aca="false">IF(OR($E27="",$F27=""),"",IF(AND($E27&lt;=EOMONTH(T$4,0),$F27&gt;=T$4),IF(Plan!$G24="Hito","◆",1),""))</f>
        <v/>
      </c>
      <c r="U27" s="38" t="str">
        <f aca="false">IF(OR($E27="",$F27=""),"",IF(AND($E27&lt;=EOMONTH(U$4,0),$F27&gt;=U$4),IF(Plan!$G24="Hito","◆",1),""))</f>
        <v/>
      </c>
      <c r="V27" s="38" t="str">
        <f aca="false">IF(OR($E27="",$F27=""),"",IF(AND($E27&lt;=EOMONTH(V$4,0),$F27&gt;=V$4),IF(Plan!$G24="Hito","◆",1),""))</f>
        <v/>
      </c>
      <c r="W27" s="38" t="str">
        <f aca="false">IF(OR($E27="",$F27=""),"",IF(AND($E27&lt;=EOMONTH(W$4,0),$F27&gt;=W$4),IF(Plan!$G24="Hito","◆",1),""))</f>
        <v/>
      </c>
      <c r="X27" s="38" t="str">
        <f aca="false">IF(OR($E27="",$F27=""),"",IF(AND($E27&lt;=EOMONTH(X$4,0),$F27&gt;=X$4),IF(Plan!$G24="Hito","◆",1),""))</f>
        <v/>
      </c>
    </row>
    <row r="28" customFormat="false" ht="15" hidden="false" customHeight="false" outlineLevel="0" collapsed="false">
      <c r="A28" s="36" t="str">
        <f aca="false">IF(Plan!A25="","",Plan!A25)</f>
        <v>2 · Piloto Ondupet</v>
      </c>
      <c r="B28" s="36" t="str">
        <f aca="false">IF(Plan!B25="","",Plan!B25)</f>
        <v>Reglas de prioridad para pedidos en conflicto</v>
      </c>
      <c r="C28" s="36" t="str">
        <f aca="false">IF(Plan!C25="","",Plan!C25)</f>
        <v>Ondupet</v>
      </c>
      <c r="D28" s="36" t="str">
        <f aca="false">IF(Plan!F25="","",Plan!F25)</f>
        <v>Responsable de planificación de planta</v>
      </c>
      <c r="E28" s="37" t="n">
        <f aca="false">IF(Plan!H25="","",Plan!H25)</f>
        <v>46482</v>
      </c>
      <c r="F28" s="37" t="n">
        <f aca="false">IF(Plan!I25="","",Plan!I25)</f>
        <v>46535</v>
      </c>
      <c r="G28" s="38" t="str">
        <f aca="false">IF(OR($E28="",$F28=""),"",IF(AND($E28&lt;=EOMONTH(G$4,0),$F28&gt;=G$4),IF(Plan!$G25="Hito","◆",1),""))</f>
        <v/>
      </c>
      <c r="H28" s="38" t="str">
        <f aca="false">IF(OR($E28="",$F28=""),"",IF(AND($E28&lt;=EOMONTH(H$4,0),$F28&gt;=H$4),IF(Plan!$G25="Hito","◆",1),""))</f>
        <v/>
      </c>
      <c r="I28" s="38" t="str">
        <f aca="false">IF(OR($E28="",$F28=""),"",IF(AND($E28&lt;=EOMONTH(I$4,0),$F28&gt;=I$4),IF(Plan!$G25="Hito","◆",1),""))</f>
        <v/>
      </c>
      <c r="J28" s="38" t="n">
        <f aca="false">IF(OR($E28="",$F28=""),"",IF(AND($E28&lt;=EOMONTH(J$4,0),$F28&gt;=J$4),IF(Plan!$G25="Hito","◆",1),""))</f>
        <v>1</v>
      </c>
      <c r="K28" s="38" t="n">
        <f aca="false">IF(OR($E28="",$F28=""),"",IF(AND($E28&lt;=EOMONTH(K$4,0),$F28&gt;=K$4),IF(Plan!$G25="Hito","◆",1),""))</f>
        <v>1</v>
      </c>
      <c r="L28" s="38" t="str">
        <f aca="false">IF(OR($E28="",$F28=""),"",IF(AND($E28&lt;=EOMONTH(L$4,0),$F28&gt;=L$4),IF(Plan!$G25="Hito","◆",1),""))</f>
        <v/>
      </c>
      <c r="M28" s="38" t="str">
        <f aca="false">IF(OR($E28="",$F28=""),"",IF(AND($E28&lt;=EOMONTH(M$4,0),$F28&gt;=M$4),IF(Plan!$G25="Hito","◆",1),""))</f>
        <v/>
      </c>
      <c r="N28" s="38" t="str">
        <f aca="false">IF(OR($E28="",$F28=""),"",IF(AND($E28&lt;=EOMONTH(N$4,0),$F28&gt;=N$4),IF(Plan!$G25="Hito","◆",1),""))</f>
        <v/>
      </c>
      <c r="O28" s="38" t="str">
        <f aca="false">IF(OR($E28="",$F28=""),"",IF(AND($E28&lt;=EOMONTH(O$4,0),$F28&gt;=O$4),IF(Plan!$G25="Hito","◆",1),""))</f>
        <v/>
      </c>
      <c r="P28" s="38" t="str">
        <f aca="false">IF(OR($E28="",$F28=""),"",IF(AND($E28&lt;=EOMONTH(P$4,0),$F28&gt;=P$4),IF(Plan!$G25="Hito","◆",1),""))</f>
        <v/>
      </c>
      <c r="Q28" s="38" t="str">
        <f aca="false">IF(OR($E28="",$F28=""),"",IF(AND($E28&lt;=EOMONTH(Q$4,0),$F28&gt;=Q$4),IF(Plan!$G25="Hito","◆",1),""))</f>
        <v/>
      </c>
      <c r="R28" s="38" t="str">
        <f aca="false">IF(OR($E28="",$F28=""),"",IF(AND($E28&lt;=EOMONTH(R$4,0),$F28&gt;=R$4),IF(Plan!$G25="Hito","◆",1),""))</f>
        <v/>
      </c>
      <c r="S28" s="38" t="str">
        <f aca="false">IF(OR($E28="",$F28=""),"",IF(AND($E28&lt;=EOMONTH(S$4,0),$F28&gt;=S$4),IF(Plan!$G25="Hito","◆",1),""))</f>
        <v/>
      </c>
      <c r="T28" s="38" t="str">
        <f aca="false">IF(OR($E28="",$F28=""),"",IF(AND($E28&lt;=EOMONTH(T$4,0),$F28&gt;=T$4),IF(Plan!$G25="Hito","◆",1),""))</f>
        <v/>
      </c>
      <c r="U28" s="38" t="str">
        <f aca="false">IF(OR($E28="",$F28=""),"",IF(AND($E28&lt;=EOMONTH(U$4,0),$F28&gt;=U$4),IF(Plan!$G25="Hito","◆",1),""))</f>
        <v/>
      </c>
      <c r="V28" s="38" t="str">
        <f aca="false">IF(OR($E28="",$F28=""),"",IF(AND($E28&lt;=EOMONTH(V$4,0),$F28&gt;=V$4),IF(Plan!$G25="Hito","◆",1),""))</f>
        <v/>
      </c>
      <c r="W28" s="38" t="str">
        <f aca="false">IF(OR($E28="",$F28=""),"",IF(AND($E28&lt;=EOMONTH(W$4,0),$F28&gt;=W$4),IF(Plan!$G25="Hito","◆",1),""))</f>
        <v/>
      </c>
      <c r="X28" s="38" t="str">
        <f aca="false">IF(OR($E28="",$F28=""),"",IF(AND($E28&lt;=EOMONTH(X$4,0),$F28&gt;=X$4),IF(Plan!$G25="Hito","◆",1),""))</f>
        <v/>
      </c>
    </row>
    <row r="29" customFormat="false" ht="15" hidden="false" customHeight="false" outlineLevel="0" collapsed="false">
      <c r="A29" s="36" t="str">
        <f aca="false">IF(Plan!A26="","",Plan!A26)</f>
        <v>2 · Piloto Ondupet</v>
      </c>
      <c r="B29" s="36" t="str">
        <f aca="false">IF(Plan!B26="","",Plan!B26)</f>
        <v>Revisión semanal única del MRP (incluye materias primas y auxiliares)</v>
      </c>
      <c r="C29" s="36" t="str">
        <f aca="false">IF(Plan!C26="","",Plan!C26)</f>
        <v>Ondupet</v>
      </c>
      <c r="D29" s="36" t="str">
        <f aca="false">IF(Plan!F26="","",Plan!F26)</f>
        <v>Planificador/a de materiales</v>
      </c>
      <c r="E29" s="37" t="n">
        <f aca="false">IF(Plan!H26="","",Plan!H26)</f>
        <v>46419</v>
      </c>
      <c r="F29" s="37" t="n">
        <f aca="false">IF(Plan!I26="","",Plan!I26)</f>
        <v>46444</v>
      </c>
      <c r="G29" s="38" t="str">
        <f aca="false">IF(OR($E29="",$F29=""),"",IF(AND($E29&lt;=EOMONTH(G$4,0),$F29&gt;=G$4),IF(Plan!$G26="Hito","◆",1),""))</f>
        <v/>
      </c>
      <c r="H29" s="38" t="n">
        <f aca="false">IF(OR($E29="",$F29=""),"",IF(AND($E29&lt;=EOMONTH(H$4,0),$F29&gt;=H$4),IF(Plan!$G26="Hito","◆",1),""))</f>
        <v>1</v>
      </c>
      <c r="I29" s="38" t="str">
        <f aca="false">IF(OR($E29="",$F29=""),"",IF(AND($E29&lt;=EOMONTH(I$4,0),$F29&gt;=I$4),IF(Plan!$G26="Hito","◆",1),""))</f>
        <v/>
      </c>
      <c r="J29" s="38" t="str">
        <f aca="false">IF(OR($E29="",$F29=""),"",IF(AND($E29&lt;=EOMONTH(J$4,0),$F29&gt;=J$4),IF(Plan!$G26="Hito","◆",1),""))</f>
        <v/>
      </c>
      <c r="K29" s="38" t="str">
        <f aca="false">IF(OR($E29="",$F29=""),"",IF(AND($E29&lt;=EOMONTH(K$4,0),$F29&gt;=K$4),IF(Plan!$G26="Hito","◆",1),""))</f>
        <v/>
      </c>
      <c r="L29" s="38" t="str">
        <f aca="false">IF(OR($E29="",$F29=""),"",IF(AND($E29&lt;=EOMONTH(L$4,0),$F29&gt;=L$4),IF(Plan!$G26="Hito","◆",1),""))</f>
        <v/>
      </c>
      <c r="M29" s="38" t="str">
        <f aca="false">IF(OR($E29="",$F29=""),"",IF(AND($E29&lt;=EOMONTH(M$4,0),$F29&gt;=M$4),IF(Plan!$G26="Hito","◆",1),""))</f>
        <v/>
      </c>
      <c r="N29" s="38" t="str">
        <f aca="false">IF(OR($E29="",$F29=""),"",IF(AND($E29&lt;=EOMONTH(N$4,0),$F29&gt;=N$4),IF(Plan!$G26="Hito","◆",1),""))</f>
        <v/>
      </c>
      <c r="O29" s="38" t="str">
        <f aca="false">IF(OR($E29="",$F29=""),"",IF(AND($E29&lt;=EOMONTH(O$4,0),$F29&gt;=O$4),IF(Plan!$G26="Hito","◆",1),""))</f>
        <v/>
      </c>
      <c r="P29" s="38" t="str">
        <f aca="false">IF(OR($E29="",$F29=""),"",IF(AND($E29&lt;=EOMONTH(P$4,0),$F29&gt;=P$4),IF(Plan!$G26="Hito","◆",1),""))</f>
        <v/>
      </c>
      <c r="Q29" s="38" t="str">
        <f aca="false">IF(OR($E29="",$F29=""),"",IF(AND($E29&lt;=EOMONTH(Q$4,0),$F29&gt;=Q$4),IF(Plan!$G26="Hito","◆",1),""))</f>
        <v/>
      </c>
      <c r="R29" s="38" t="str">
        <f aca="false">IF(OR($E29="",$F29=""),"",IF(AND($E29&lt;=EOMONTH(R$4,0),$F29&gt;=R$4),IF(Plan!$G26="Hito","◆",1),""))</f>
        <v/>
      </c>
      <c r="S29" s="38" t="str">
        <f aca="false">IF(OR($E29="",$F29=""),"",IF(AND($E29&lt;=EOMONTH(S$4,0),$F29&gt;=S$4),IF(Plan!$G26="Hito","◆",1),""))</f>
        <v/>
      </c>
      <c r="T29" s="38" t="str">
        <f aca="false">IF(OR($E29="",$F29=""),"",IF(AND($E29&lt;=EOMONTH(T$4,0),$F29&gt;=T$4),IF(Plan!$G26="Hito","◆",1),""))</f>
        <v/>
      </c>
      <c r="U29" s="38" t="str">
        <f aca="false">IF(OR($E29="",$F29=""),"",IF(AND($E29&lt;=EOMONTH(U$4,0),$F29&gt;=U$4),IF(Plan!$G26="Hito","◆",1),""))</f>
        <v/>
      </c>
      <c r="V29" s="38" t="str">
        <f aca="false">IF(OR($E29="",$F29=""),"",IF(AND($E29&lt;=EOMONTH(V$4,0),$F29&gt;=V$4),IF(Plan!$G26="Hito","◆",1),""))</f>
        <v/>
      </c>
      <c r="W29" s="38" t="str">
        <f aca="false">IF(OR($E29="",$F29=""),"",IF(AND($E29&lt;=EOMONTH(W$4,0),$F29&gt;=W$4),IF(Plan!$G26="Hito","◆",1),""))</f>
        <v/>
      </c>
      <c r="X29" s="38" t="str">
        <f aca="false">IF(OR($E29="",$F29=""),"",IF(AND($E29&lt;=EOMONTH(X$4,0),$F29&gt;=X$4),IF(Plan!$G26="Hito","◆",1),""))</f>
        <v/>
      </c>
    </row>
    <row r="30" customFormat="false" ht="15" hidden="false" customHeight="false" outlineLevel="0" collapsed="false">
      <c r="A30" s="36" t="str">
        <f aca="false">IF(Plan!A27="","",Plan!A27)</f>
        <v>2 · Piloto Ondupet</v>
      </c>
      <c r="B30" s="36" t="str">
        <f aca="false">IF(Plan!B27="","",Plan!B27)</f>
        <v>Reglas para corregir propuestas de PT y semielaborado con motivo registrado</v>
      </c>
      <c r="C30" s="36" t="str">
        <f aca="false">IF(Plan!C27="","",Plan!C27)</f>
        <v>Ondupet</v>
      </c>
      <c r="D30" s="36" t="str">
        <f aca="false">IF(Plan!F27="","",Plan!F27)</f>
        <v>Responsable de planificación de planta</v>
      </c>
      <c r="E30" s="37" t="n">
        <f aca="false">IF(Plan!H27="","",Plan!H27)</f>
        <v>46482</v>
      </c>
      <c r="F30" s="37" t="n">
        <f aca="false">IF(Plan!I27="","",Plan!I27)</f>
        <v>46535</v>
      </c>
      <c r="G30" s="38" t="str">
        <f aca="false">IF(OR($E30="",$F30=""),"",IF(AND($E30&lt;=EOMONTH(G$4,0),$F30&gt;=G$4),IF(Plan!$G27="Hito","◆",1),""))</f>
        <v/>
      </c>
      <c r="H30" s="38" t="str">
        <f aca="false">IF(OR($E30="",$F30=""),"",IF(AND($E30&lt;=EOMONTH(H$4,0),$F30&gt;=H$4),IF(Plan!$G27="Hito","◆",1),""))</f>
        <v/>
      </c>
      <c r="I30" s="38" t="str">
        <f aca="false">IF(OR($E30="",$F30=""),"",IF(AND($E30&lt;=EOMONTH(I$4,0),$F30&gt;=I$4),IF(Plan!$G27="Hito","◆",1),""))</f>
        <v/>
      </c>
      <c r="J30" s="38" t="n">
        <f aca="false">IF(OR($E30="",$F30=""),"",IF(AND($E30&lt;=EOMONTH(J$4,0),$F30&gt;=J$4),IF(Plan!$G27="Hito","◆",1),""))</f>
        <v>1</v>
      </c>
      <c r="K30" s="38" t="n">
        <f aca="false">IF(OR($E30="",$F30=""),"",IF(AND($E30&lt;=EOMONTH(K$4,0),$F30&gt;=K$4),IF(Plan!$G27="Hito","◆",1),""))</f>
        <v>1</v>
      </c>
      <c r="L30" s="38" t="str">
        <f aca="false">IF(OR($E30="",$F30=""),"",IF(AND($E30&lt;=EOMONTH(L$4,0),$F30&gt;=L$4),IF(Plan!$G27="Hito","◆",1),""))</f>
        <v/>
      </c>
      <c r="M30" s="38" t="str">
        <f aca="false">IF(OR($E30="",$F30=""),"",IF(AND($E30&lt;=EOMONTH(M$4,0),$F30&gt;=M$4),IF(Plan!$G27="Hito","◆",1),""))</f>
        <v/>
      </c>
      <c r="N30" s="38" t="str">
        <f aca="false">IF(OR($E30="",$F30=""),"",IF(AND($E30&lt;=EOMONTH(N$4,0),$F30&gt;=N$4),IF(Plan!$G27="Hito","◆",1),""))</f>
        <v/>
      </c>
      <c r="O30" s="38" t="str">
        <f aca="false">IF(OR($E30="",$F30=""),"",IF(AND($E30&lt;=EOMONTH(O$4,0),$F30&gt;=O$4),IF(Plan!$G27="Hito","◆",1),""))</f>
        <v/>
      </c>
      <c r="P30" s="38" t="str">
        <f aca="false">IF(OR($E30="",$F30=""),"",IF(AND($E30&lt;=EOMONTH(P$4,0),$F30&gt;=P$4),IF(Plan!$G27="Hito","◆",1),""))</f>
        <v/>
      </c>
      <c r="Q30" s="38" t="str">
        <f aca="false">IF(OR($E30="",$F30=""),"",IF(AND($E30&lt;=EOMONTH(Q$4,0),$F30&gt;=Q$4),IF(Plan!$G27="Hito","◆",1),""))</f>
        <v/>
      </c>
      <c r="R30" s="38" t="str">
        <f aca="false">IF(OR($E30="",$F30=""),"",IF(AND($E30&lt;=EOMONTH(R$4,0),$F30&gt;=R$4),IF(Plan!$G27="Hito","◆",1),""))</f>
        <v/>
      </c>
      <c r="S30" s="38" t="str">
        <f aca="false">IF(OR($E30="",$F30=""),"",IF(AND($E30&lt;=EOMONTH(S$4,0),$F30&gt;=S$4),IF(Plan!$G27="Hito","◆",1),""))</f>
        <v/>
      </c>
      <c r="T30" s="38" t="str">
        <f aca="false">IF(OR($E30="",$F30=""),"",IF(AND($E30&lt;=EOMONTH(T$4,0),$F30&gt;=T$4),IF(Plan!$G27="Hito","◆",1),""))</f>
        <v/>
      </c>
      <c r="U30" s="38" t="str">
        <f aca="false">IF(OR($E30="",$F30=""),"",IF(AND($E30&lt;=EOMONTH(U$4,0),$F30&gt;=U$4),IF(Plan!$G27="Hito","◆",1),""))</f>
        <v/>
      </c>
      <c r="V30" s="38" t="str">
        <f aca="false">IF(OR($E30="",$F30=""),"",IF(AND($E30&lt;=EOMONTH(V$4,0),$F30&gt;=V$4),IF(Plan!$G27="Hito","◆",1),""))</f>
        <v/>
      </c>
      <c r="W30" s="38" t="str">
        <f aca="false">IF(OR($E30="",$F30=""),"",IF(AND($E30&lt;=EOMONTH(W$4,0),$F30&gt;=W$4),IF(Plan!$G27="Hito","◆",1),""))</f>
        <v/>
      </c>
      <c r="X30" s="38" t="str">
        <f aca="false">IF(OR($E30="",$F30=""),"",IF(AND($E30&lt;=EOMONTH(X$4,0),$F30&gt;=X$4),IF(Plan!$G27="Hito","◆",1),""))</f>
        <v/>
      </c>
    </row>
    <row r="31" customFormat="false" ht="15" hidden="false" customHeight="false" outlineLevel="0" collapsed="false">
      <c r="A31" s="36" t="str">
        <f aca="false">IF(Plan!A28="","",Plan!A28)</f>
        <v>2 · Piloto Ondupet</v>
      </c>
      <c r="B31" s="36" t="str">
        <f aca="false">IF(Plan!B28="","",Plan!B28)</f>
        <v>Seguimiento del piloto con KPIs y ajustes</v>
      </c>
      <c r="C31" s="36" t="str">
        <f aca="false">IF(Plan!C28="","",Plan!C28)</f>
        <v>Ondupet</v>
      </c>
      <c r="D31" s="36" t="str">
        <f aca="false">IF(Plan!F28="","",Plan!F28)</f>
        <v>Responsable de planificación de planta</v>
      </c>
      <c r="E31" s="37" t="n">
        <f aca="false">IF(Plan!H28="","",Plan!H28)</f>
        <v>46510</v>
      </c>
      <c r="F31" s="37" t="n">
        <f aca="false">IF(Plan!I28="","",Plan!I28)</f>
        <v>46568</v>
      </c>
      <c r="G31" s="38" t="str">
        <f aca="false">IF(OR($E31="",$F31=""),"",IF(AND($E31&lt;=EOMONTH(G$4,0),$F31&gt;=G$4),IF(Plan!$G28="Hito","◆",1),""))</f>
        <v/>
      </c>
      <c r="H31" s="38" t="str">
        <f aca="false">IF(OR($E31="",$F31=""),"",IF(AND($E31&lt;=EOMONTH(H$4,0),$F31&gt;=H$4),IF(Plan!$G28="Hito","◆",1),""))</f>
        <v/>
      </c>
      <c r="I31" s="38" t="str">
        <f aca="false">IF(OR($E31="",$F31=""),"",IF(AND($E31&lt;=EOMONTH(I$4,0),$F31&gt;=I$4),IF(Plan!$G28="Hito","◆",1),""))</f>
        <v/>
      </c>
      <c r="J31" s="38" t="str">
        <f aca="false">IF(OR($E31="",$F31=""),"",IF(AND($E31&lt;=EOMONTH(J$4,0),$F31&gt;=J$4),IF(Plan!$G28="Hito","◆",1),""))</f>
        <v/>
      </c>
      <c r="K31" s="38" t="n">
        <f aca="false">IF(OR($E31="",$F31=""),"",IF(AND($E31&lt;=EOMONTH(K$4,0),$F31&gt;=K$4),IF(Plan!$G28="Hito","◆",1),""))</f>
        <v>1</v>
      </c>
      <c r="L31" s="38" t="n">
        <f aca="false">IF(OR($E31="",$F31=""),"",IF(AND($E31&lt;=EOMONTH(L$4,0),$F31&gt;=L$4),IF(Plan!$G28="Hito","◆",1),""))</f>
        <v>1</v>
      </c>
      <c r="M31" s="38" t="str">
        <f aca="false">IF(OR($E31="",$F31=""),"",IF(AND($E31&lt;=EOMONTH(M$4,0),$F31&gt;=M$4),IF(Plan!$G28="Hito","◆",1),""))</f>
        <v/>
      </c>
      <c r="N31" s="38" t="str">
        <f aca="false">IF(OR($E31="",$F31=""),"",IF(AND($E31&lt;=EOMONTH(N$4,0),$F31&gt;=N$4),IF(Plan!$G28="Hito","◆",1),""))</f>
        <v/>
      </c>
      <c r="O31" s="38" t="str">
        <f aca="false">IF(OR($E31="",$F31=""),"",IF(AND($E31&lt;=EOMONTH(O$4,0),$F31&gt;=O$4),IF(Plan!$G28="Hito","◆",1),""))</f>
        <v/>
      </c>
      <c r="P31" s="38" t="str">
        <f aca="false">IF(OR($E31="",$F31=""),"",IF(AND($E31&lt;=EOMONTH(P$4,0),$F31&gt;=P$4),IF(Plan!$G28="Hito","◆",1),""))</f>
        <v/>
      </c>
      <c r="Q31" s="38" t="str">
        <f aca="false">IF(OR($E31="",$F31=""),"",IF(AND($E31&lt;=EOMONTH(Q$4,0),$F31&gt;=Q$4),IF(Plan!$G28="Hito","◆",1),""))</f>
        <v/>
      </c>
      <c r="R31" s="38" t="str">
        <f aca="false">IF(OR($E31="",$F31=""),"",IF(AND($E31&lt;=EOMONTH(R$4,0),$F31&gt;=R$4),IF(Plan!$G28="Hito","◆",1),""))</f>
        <v/>
      </c>
      <c r="S31" s="38" t="str">
        <f aca="false">IF(OR($E31="",$F31=""),"",IF(AND($E31&lt;=EOMONTH(S$4,0),$F31&gt;=S$4),IF(Plan!$G28="Hito","◆",1),""))</f>
        <v/>
      </c>
      <c r="T31" s="38" t="str">
        <f aca="false">IF(OR($E31="",$F31=""),"",IF(AND($E31&lt;=EOMONTH(T$4,0),$F31&gt;=T$4),IF(Plan!$G28="Hito","◆",1),""))</f>
        <v/>
      </c>
      <c r="U31" s="38" t="str">
        <f aca="false">IF(OR($E31="",$F31=""),"",IF(AND($E31&lt;=EOMONTH(U$4,0),$F31&gt;=U$4),IF(Plan!$G28="Hito","◆",1),""))</f>
        <v/>
      </c>
      <c r="V31" s="38" t="str">
        <f aca="false">IF(OR($E31="",$F31=""),"",IF(AND($E31&lt;=EOMONTH(V$4,0),$F31&gt;=V$4),IF(Plan!$G28="Hito","◆",1),""))</f>
        <v/>
      </c>
      <c r="W31" s="38" t="str">
        <f aca="false">IF(OR($E31="",$F31=""),"",IF(AND($E31&lt;=EOMONTH(W$4,0),$F31&gt;=W$4),IF(Plan!$G28="Hito","◆",1),""))</f>
        <v/>
      </c>
      <c r="X31" s="38" t="str">
        <f aca="false">IF(OR($E31="",$F31=""),"",IF(AND($E31&lt;=EOMONTH(X$4,0),$F31&gt;=X$4),IF(Plan!$G28="Hito","◆",1),""))</f>
        <v/>
      </c>
    </row>
    <row r="32" customFormat="false" ht="15" hidden="false" customHeight="false" outlineLevel="0" collapsed="false">
      <c r="A32" s="36" t="str">
        <f aca="false">IF(Plan!A29="","",Plan!A29)</f>
        <v>2 · Piloto Ondupet</v>
      </c>
      <c r="B32" s="36" t="str">
        <f aca="false">IF(Plan!B29="","",Plan!B29)</f>
        <v>Cierre del piloto y lecciones aprendidas</v>
      </c>
      <c r="C32" s="36" t="str">
        <f aca="false">IF(Plan!C29="","",Plan!C29)</f>
        <v>Ondupet</v>
      </c>
      <c r="D32" s="36" t="str">
        <f aca="false">IF(Plan!F29="","",Plan!F29)</f>
        <v>Director/a de Planificación</v>
      </c>
      <c r="E32" s="37" t="n">
        <f aca="false">IF(Plan!H29="","",Plan!H29)</f>
        <v>46568</v>
      </c>
      <c r="F32" s="37" t="n">
        <f aca="false">IF(Plan!I29="","",Plan!I29)</f>
        <v>46568</v>
      </c>
      <c r="G32" s="38" t="str">
        <f aca="false">IF(OR($E32="",$F32=""),"",IF(AND($E32&lt;=EOMONTH(G$4,0),$F32&gt;=G$4),IF(Plan!$G29="Hito","◆",1),""))</f>
        <v/>
      </c>
      <c r="H32" s="38" t="str">
        <f aca="false">IF(OR($E32="",$F32=""),"",IF(AND($E32&lt;=EOMONTH(H$4,0),$F32&gt;=H$4),IF(Plan!$G29="Hito","◆",1),""))</f>
        <v/>
      </c>
      <c r="I32" s="38" t="str">
        <f aca="false">IF(OR($E32="",$F32=""),"",IF(AND($E32&lt;=EOMONTH(I$4,0),$F32&gt;=I$4),IF(Plan!$G29="Hito","◆",1),""))</f>
        <v/>
      </c>
      <c r="J32" s="38" t="str">
        <f aca="false">IF(OR($E32="",$F32=""),"",IF(AND($E32&lt;=EOMONTH(J$4,0),$F32&gt;=J$4),IF(Plan!$G29="Hito","◆",1),""))</f>
        <v/>
      </c>
      <c r="K32" s="38" t="str">
        <f aca="false">IF(OR($E32="",$F32=""),"",IF(AND($E32&lt;=EOMONTH(K$4,0),$F32&gt;=K$4),IF(Plan!$G29="Hito","◆",1),""))</f>
        <v/>
      </c>
      <c r="L32" s="38" t="str">
        <f aca="false">IF(OR($E32="",$F32=""),"",IF(AND($E32&lt;=EOMONTH(L$4,0),$F32&gt;=L$4),IF(Plan!$G29="Hito","◆",1),""))</f>
        <v>◆</v>
      </c>
      <c r="M32" s="38" t="str">
        <f aca="false">IF(OR($E32="",$F32=""),"",IF(AND($E32&lt;=EOMONTH(M$4,0),$F32&gt;=M$4),IF(Plan!$G29="Hito","◆",1),""))</f>
        <v/>
      </c>
      <c r="N32" s="38" t="str">
        <f aca="false">IF(OR($E32="",$F32=""),"",IF(AND($E32&lt;=EOMONTH(N$4,0),$F32&gt;=N$4),IF(Plan!$G29="Hito","◆",1),""))</f>
        <v/>
      </c>
      <c r="O32" s="38" t="str">
        <f aca="false">IF(OR($E32="",$F32=""),"",IF(AND($E32&lt;=EOMONTH(O$4,0),$F32&gt;=O$4),IF(Plan!$G29="Hito","◆",1),""))</f>
        <v/>
      </c>
      <c r="P32" s="38" t="str">
        <f aca="false">IF(OR($E32="",$F32=""),"",IF(AND($E32&lt;=EOMONTH(P$4,0),$F32&gt;=P$4),IF(Plan!$G29="Hito","◆",1),""))</f>
        <v/>
      </c>
      <c r="Q32" s="38" t="str">
        <f aca="false">IF(OR($E32="",$F32=""),"",IF(AND($E32&lt;=EOMONTH(Q$4,0),$F32&gt;=Q$4),IF(Plan!$G29="Hito","◆",1),""))</f>
        <v/>
      </c>
      <c r="R32" s="38" t="str">
        <f aca="false">IF(OR($E32="",$F32=""),"",IF(AND($E32&lt;=EOMONTH(R$4,0),$F32&gt;=R$4),IF(Plan!$G29="Hito","◆",1),""))</f>
        <v/>
      </c>
      <c r="S32" s="38" t="str">
        <f aca="false">IF(OR($E32="",$F32=""),"",IF(AND($E32&lt;=EOMONTH(S$4,0),$F32&gt;=S$4),IF(Plan!$G29="Hito","◆",1),""))</f>
        <v/>
      </c>
      <c r="T32" s="38" t="str">
        <f aca="false">IF(OR($E32="",$F32=""),"",IF(AND($E32&lt;=EOMONTH(T$4,0),$F32&gt;=T$4),IF(Plan!$G29="Hito","◆",1),""))</f>
        <v/>
      </c>
      <c r="U32" s="38" t="str">
        <f aca="false">IF(OR($E32="",$F32=""),"",IF(AND($E32&lt;=EOMONTH(U$4,0),$F32&gt;=U$4),IF(Plan!$G29="Hito","◆",1),""))</f>
        <v/>
      </c>
      <c r="V32" s="38" t="str">
        <f aca="false">IF(OR($E32="",$F32=""),"",IF(AND($E32&lt;=EOMONTH(V$4,0),$F32&gt;=V$4),IF(Plan!$G29="Hito","◆",1),""))</f>
        <v/>
      </c>
      <c r="W32" s="38" t="str">
        <f aca="false">IF(OR($E32="",$F32=""),"",IF(AND($E32&lt;=EOMONTH(W$4,0),$F32&gt;=W$4),IF(Plan!$G29="Hito","◆",1),""))</f>
        <v/>
      </c>
      <c r="X32" s="38" t="str">
        <f aca="false">IF(OR($E32="",$F32=""),"",IF(AND($E32&lt;=EOMONTH(X$4,0),$F32&gt;=X$4),IF(Plan!$G29="Hito","◆",1),""))</f>
        <v/>
      </c>
    </row>
    <row r="33" customFormat="false" ht="15" hidden="false" customHeight="false" outlineLevel="0" collapsed="false">
      <c r="A33" s="36" t="str">
        <f aca="false">IF(Plan!A30="","",Plan!A30)</f>
        <v>3 · Sistemas y herramientas</v>
      </c>
      <c r="B33" s="36" t="str">
        <f aca="false">IF(Plan!B30="","",Plan!B30)</f>
        <v>Papresa integrada en SAP</v>
      </c>
      <c r="C33" s="36" t="str">
        <f aca="false">IF(Plan!C30="","",Plan!C30)</f>
        <v>Papresa</v>
      </c>
      <c r="D33" s="36" t="str">
        <f aca="false">IF(Plan!F30="","",Plan!F30)</f>
        <v>Sistemas de planificación (Technical Lead y desarrollo)</v>
      </c>
      <c r="E33" s="37" t="n">
        <f aca="false">IF(Plan!H30="","",Plan!H30)</f>
        <v>46388</v>
      </c>
      <c r="F33" s="37" t="n">
        <f aca="false">IF(Plan!I30="","",Plan!I30)</f>
        <v>46388</v>
      </c>
      <c r="G33" s="38" t="str">
        <f aca="false">IF(OR($E33="",$F33=""),"",IF(AND($E33&lt;=EOMONTH(G$4,0),$F33&gt;=G$4),IF(Plan!$G30="Hito","◆",1),""))</f>
        <v>◆</v>
      </c>
      <c r="H33" s="38" t="str">
        <f aca="false">IF(OR($E33="",$F33=""),"",IF(AND($E33&lt;=EOMONTH(H$4,0),$F33&gt;=H$4),IF(Plan!$G30="Hito","◆",1),""))</f>
        <v/>
      </c>
      <c r="I33" s="38" t="str">
        <f aca="false">IF(OR($E33="",$F33=""),"",IF(AND($E33&lt;=EOMONTH(I$4,0),$F33&gt;=I$4),IF(Plan!$G30="Hito","◆",1),""))</f>
        <v/>
      </c>
      <c r="J33" s="38" t="str">
        <f aca="false">IF(OR($E33="",$F33=""),"",IF(AND($E33&lt;=EOMONTH(J$4,0),$F33&gt;=J$4),IF(Plan!$G30="Hito","◆",1),""))</f>
        <v/>
      </c>
      <c r="K33" s="38" t="str">
        <f aca="false">IF(OR($E33="",$F33=""),"",IF(AND($E33&lt;=EOMONTH(K$4,0),$F33&gt;=K$4),IF(Plan!$G30="Hito","◆",1),""))</f>
        <v/>
      </c>
      <c r="L33" s="38" t="str">
        <f aca="false">IF(OR($E33="",$F33=""),"",IF(AND($E33&lt;=EOMONTH(L$4,0),$F33&gt;=L$4),IF(Plan!$G30="Hito","◆",1),""))</f>
        <v/>
      </c>
      <c r="M33" s="38" t="str">
        <f aca="false">IF(OR($E33="",$F33=""),"",IF(AND($E33&lt;=EOMONTH(M$4,0),$F33&gt;=M$4),IF(Plan!$G30="Hito","◆",1),""))</f>
        <v/>
      </c>
      <c r="N33" s="38" t="str">
        <f aca="false">IF(OR($E33="",$F33=""),"",IF(AND($E33&lt;=EOMONTH(N$4,0),$F33&gt;=N$4),IF(Plan!$G30="Hito","◆",1),""))</f>
        <v/>
      </c>
      <c r="O33" s="38" t="str">
        <f aca="false">IF(OR($E33="",$F33=""),"",IF(AND($E33&lt;=EOMONTH(O$4,0),$F33&gt;=O$4),IF(Plan!$G30="Hito","◆",1),""))</f>
        <v/>
      </c>
      <c r="P33" s="38" t="str">
        <f aca="false">IF(OR($E33="",$F33=""),"",IF(AND($E33&lt;=EOMONTH(P$4,0),$F33&gt;=P$4),IF(Plan!$G30="Hito","◆",1),""))</f>
        <v/>
      </c>
      <c r="Q33" s="38" t="str">
        <f aca="false">IF(OR($E33="",$F33=""),"",IF(AND($E33&lt;=EOMONTH(Q$4,0),$F33&gt;=Q$4),IF(Plan!$G30="Hito","◆",1),""))</f>
        <v/>
      </c>
      <c r="R33" s="38" t="str">
        <f aca="false">IF(OR($E33="",$F33=""),"",IF(AND($E33&lt;=EOMONTH(R$4,0),$F33&gt;=R$4),IF(Plan!$G30="Hito","◆",1),""))</f>
        <v/>
      </c>
      <c r="S33" s="38" t="str">
        <f aca="false">IF(OR($E33="",$F33=""),"",IF(AND($E33&lt;=EOMONTH(S$4,0),$F33&gt;=S$4),IF(Plan!$G30="Hito","◆",1),""))</f>
        <v/>
      </c>
      <c r="T33" s="38" t="str">
        <f aca="false">IF(OR($E33="",$F33=""),"",IF(AND($E33&lt;=EOMONTH(T$4,0),$F33&gt;=T$4),IF(Plan!$G30="Hito","◆",1),""))</f>
        <v/>
      </c>
      <c r="U33" s="38" t="str">
        <f aca="false">IF(OR($E33="",$F33=""),"",IF(AND($E33&lt;=EOMONTH(U$4,0),$F33&gt;=U$4),IF(Plan!$G30="Hito","◆",1),""))</f>
        <v/>
      </c>
      <c r="V33" s="38" t="str">
        <f aca="false">IF(OR($E33="",$F33=""),"",IF(AND($E33&lt;=EOMONTH(V$4,0),$F33&gt;=V$4),IF(Plan!$G30="Hito","◆",1),""))</f>
        <v/>
      </c>
      <c r="W33" s="38" t="str">
        <f aca="false">IF(OR($E33="",$F33=""),"",IF(AND($E33&lt;=EOMONTH(W$4,0),$F33&gt;=W$4),IF(Plan!$G30="Hito","◆",1),""))</f>
        <v/>
      </c>
      <c r="X33" s="38" t="str">
        <f aca="false">IF(OR($E33="",$F33=""),"",IF(AND($E33&lt;=EOMONTH(X$4,0),$F33&gt;=X$4),IF(Plan!$G30="Hito","◆",1),""))</f>
        <v/>
      </c>
    </row>
    <row r="34" customFormat="false" ht="15" hidden="false" customHeight="false" outlineLevel="0" collapsed="false">
      <c r="A34" s="36" t="str">
        <f aca="false">IF(Plan!A31="","",Plan!A31)</f>
        <v>3 · Sistemas y herramientas</v>
      </c>
      <c r="B34" s="36" t="str">
        <f aca="false">IF(Plan!B31="","",Plan!B31)</f>
        <v>SIGPA en MGT y PDA: cierre de pruebas del algoritmo de combinación</v>
      </c>
      <c r="C34" s="36" t="str">
        <f aca="false">IF(Plan!C31="","",Plan!C31)</f>
        <v>MGT</v>
      </c>
      <c r="D34" s="36" t="str">
        <f aca="false">IF(Plan!F31="","",Plan!F31)</f>
        <v>Sistemas de planificación (Technical Lead y desarrollo)</v>
      </c>
      <c r="E34" s="37" t="n">
        <f aca="false">IF(Plan!H31="","",Plan!H31)</f>
        <v>46398</v>
      </c>
      <c r="F34" s="37" t="n">
        <f aca="false">IF(Plan!I31="","",Plan!I31)</f>
        <v>46477</v>
      </c>
      <c r="G34" s="38" t="n">
        <f aca="false">IF(OR($E34="",$F34=""),"",IF(AND($E34&lt;=EOMONTH(G$4,0),$F34&gt;=G$4),IF(Plan!$G31="Hito","◆",1),""))</f>
        <v>1</v>
      </c>
      <c r="H34" s="38" t="n">
        <f aca="false">IF(OR($E34="",$F34=""),"",IF(AND($E34&lt;=EOMONTH(H$4,0),$F34&gt;=H$4),IF(Plan!$G31="Hito","◆",1),""))</f>
        <v>1</v>
      </c>
      <c r="I34" s="38" t="n">
        <f aca="false">IF(OR($E34="",$F34=""),"",IF(AND($E34&lt;=EOMONTH(I$4,0),$F34&gt;=I$4),IF(Plan!$G31="Hito","◆",1),""))</f>
        <v>1</v>
      </c>
      <c r="J34" s="38" t="str">
        <f aca="false">IF(OR($E34="",$F34=""),"",IF(AND($E34&lt;=EOMONTH(J$4,0),$F34&gt;=J$4),IF(Plan!$G31="Hito","◆",1),""))</f>
        <v/>
      </c>
      <c r="K34" s="38" t="str">
        <f aca="false">IF(OR($E34="",$F34=""),"",IF(AND($E34&lt;=EOMONTH(K$4,0),$F34&gt;=K$4),IF(Plan!$G31="Hito","◆",1),""))</f>
        <v/>
      </c>
      <c r="L34" s="38" t="str">
        <f aca="false">IF(OR($E34="",$F34=""),"",IF(AND($E34&lt;=EOMONTH(L$4,0),$F34&gt;=L$4),IF(Plan!$G31="Hito","◆",1),""))</f>
        <v/>
      </c>
      <c r="M34" s="38" t="str">
        <f aca="false">IF(OR($E34="",$F34=""),"",IF(AND($E34&lt;=EOMONTH(M$4,0),$F34&gt;=M$4),IF(Plan!$G31="Hito","◆",1),""))</f>
        <v/>
      </c>
      <c r="N34" s="38" t="str">
        <f aca="false">IF(OR($E34="",$F34=""),"",IF(AND($E34&lt;=EOMONTH(N$4,0),$F34&gt;=N$4),IF(Plan!$G31="Hito","◆",1),""))</f>
        <v/>
      </c>
      <c r="O34" s="38" t="str">
        <f aca="false">IF(OR($E34="",$F34=""),"",IF(AND($E34&lt;=EOMONTH(O$4,0),$F34&gt;=O$4),IF(Plan!$G31="Hito","◆",1),""))</f>
        <v/>
      </c>
      <c r="P34" s="38" t="str">
        <f aca="false">IF(OR($E34="",$F34=""),"",IF(AND($E34&lt;=EOMONTH(P$4,0),$F34&gt;=P$4),IF(Plan!$G31="Hito","◆",1),""))</f>
        <v/>
      </c>
      <c r="Q34" s="38" t="str">
        <f aca="false">IF(OR($E34="",$F34=""),"",IF(AND($E34&lt;=EOMONTH(Q$4,0),$F34&gt;=Q$4),IF(Plan!$G31="Hito","◆",1),""))</f>
        <v/>
      </c>
      <c r="R34" s="38" t="str">
        <f aca="false">IF(OR($E34="",$F34=""),"",IF(AND($E34&lt;=EOMONTH(R$4,0),$F34&gt;=R$4),IF(Plan!$G31="Hito","◆",1),""))</f>
        <v/>
      </c>
      <c r="S34" s="38" t="str">
        <f aca="false">IF(OR($E34="",$F34=""),"",IF(AND($E34&lt;=EOMONTH(S$4,0),$F34&gt;=S$4),IF(Plan!$G31="Hito","◆",1),""))</f>
        <v/>
      </c>
      <c r="T34" s="38" t="str">
        <f aca="false">IF(OR($E34="",$F34=""),"",IF(AND($E34&lt;=EOMONTH(T$4,0),$F34&gt;=T$4),IF(Plan!$G31="Hito","◆",1),""))</f>
        <v/>
      </c>
      <c r="U34" s="38" t="str">
        <f aca="false">IF(OR($E34="",$F34=""),"",IF(AND($E34&lt;=EOMONTH(U$4,0),$F34&gt;=U$4),IF(Plan!$G31="Hito","◆",1),""))</f>
        <v/>
      </c>
      <c r="V34" s="38" t="str">
        <f aca="false">IF(OR($E34="",$F34=""),"",IF(AND($E34&lt;=EOMONTH(V$4,0),$F34&gt;=V$4),IF(Plan!$G31="Hito","◆",1),""))</f>
        <v/>
      </c>
      <c r="W34" s="38" t="str">
        <f aca="false">IF(OR($E34="",$F34=""),"",IF(AND($E34&lt;=EOMONTH(W$4,0),$F34&gt;=W$4),IF(Plan!$G31="Hito","◆",1),""))</f>
        <v/>
      </c>
      <c r="X34" s="38" t="str">
        <f aca="false">IF(OR($E34="",$F34=""),"",IF(AND($E34&lt;=EOMONTH(X$4,0),$F34&gt;=X$4),IF(Plan!$G31="Hito","◆",1),""))</f>
        <v/>
      </c>
    </row>
    <row r="35" customFormat="false" ht="15" hidden="false" customHeight="false" outlineLevel="0" collapsed="false">
      <c r="A35" s="36" t="str">
        <f aca="false">IF(Plan!A32="","",Plan!A32)</f>
        <v>3 · Sistemas y herramientas</v>
      </c>
      <c r="B35" s="36" t="str">
        <f aca="false">IF(Plan!B32="","",Plan!B32)</f>
        <v>Informe automático de KPIs de planificación</v>
      </c>
      <c r="C35" s="36" t="str">
        <f aca="false">IF(Plan!C32="","",Plan!C32)</f>
        <v>Grupo (todas)</v>
      </c>
      <c r="D35" s="36" t="str">
        <f aca="false">IF(Plan!F32="","",Plan!F32)</f>
        <v>Sistemas de planificación (Technical Lead y desarrollo)</v>
      </c>
      <c r="E35" s="37" t="n">
        <f aca="false">IF(Plan!H32="","",Plan!H32)</f>
        <v>46447</v>
      </c>
      <c r="F35" s="37" t="n">
        <f aca="false">IF(Plan!I32="","",Plan!I32)</f>
        <v>46568</v>
      </c>
      <c r="G35" s="38" t="str">
        <f aca="false">IF(OR($E35="",$F35=""),"",IF(AND($E35&lt;=EOMONTH(G$4,0),$F35&gt;=G$4),IF(Plan!$G32="Hito","◆",1),""))</f>
        <v/>
      </c>
      <c r="H35" s="38" t="str">
        <f aca="false">IF(OR($E35="",$F35=""),"",IF(AND($E35&lt;=EOMONTH(H$4,0),$F35&gt;=H$4),IF(Plan!$G32="Hito","◆",1),""))</f>
        <v/>
      </c>
      <c r="I35" s="38" t="n">
        <f aca="false">IF(OR($E35="",$F35=""),"",IF(AND($E35&lt;=EOMONTH(I$4,0),$F35&gt;=I$4),IF(Plan!$G32="Hito","◆",1),""))</f>
        <v>1</v>
      </c>
      <c r="J35" s="38" t="n">
        <f aca="false">IF(OR($E35="",$F35=""),"",IF(AND($E35&lt;=EOMONTH(J$4,0),$F35&gt;=J$4),IF(Plan!$G32="Hito","◆",1),""))</f>
        <v>1</v>
      </c>
      <c r="K35" s="38" t="n">
        <f aca="false">IF(OR($E35="",$F35=""),"",IF(AND($E35&lt;=EOMONTH(K$4,0),$F35&gt;=K$4),IF(Plan!$G32="Hito","◆",1),""))</f>
        <v>1</v>
      </c>
      <c r="L35" s="38" t="n">
        <f aca="false">IF(OR($E35="",$F35=""),"",IF(AND($E35&lt;=EOMONTH(L$4,0),$F35&gt;=L$4),IF(Plan!$G32="Hito","◆",1),""))</f>
        <v>1</v>
      </c>
      <c r="M35" s="38" t="str">
        <f aca="false">IF(OR($E35="",$F35=""),"",IF(AND($E35&lt;=EOMONTH(M$4,0),$F35&gt;=M$4),IF(Plan!$G32="Hito","◆",1),""))</f>
        <v/>
      </c>
      <c r="N35" s="38" t="str">
        <f aca="false">IF(OR($E35="",$F35=""),"",IF(AND($E35&lt;=EOMONTH(N$4,0),$F35&gt;=N$4),IF(Plan!$G32="Hito","◆",1),""))</f>
        <v/>
      </c>
      <c r="O35" s="38" t="str">
        <f aca="false">IF(OR($E35="",$F35=""),"",IF(AND($E35&lt;=EOMONTH(O$4,0),$F35&gt;=O$4),IF(Plan!$G32="Hito","◆",1),""))</f>
        <v/>
      </c>
      <c r="P35" s="38" t="str">
        <f aca="false">IF(OR($E35="",$F35=""),"",IF(AND($E35&lt;=EOMONTH(P$4,0),$F35&gt;=P$4),IF(Plan!$G32="Hito","◆",1),""))</f>
        <v/>
      </c>
      <c r="Q35" s="38" t="str">
        <f aca="false">IF(OR($E35="",$F35=""),"",IF(AND($E35&lt;=EOMONTH(Q$4,0),$F35&gt;=Q$4),IF(Plan!$G32="Hito","◆",1),""))</f>
        <v/>
      </c>
      <c r="R35" s="38" t="str">
        <f aca="false">IF(OR($E35="",$F35=""),"",IF(AND($E35&lt;=EOMONTH(R$4,0),$F35&gt;=R$4),IF(Plan!$G32="Hito","◆",1),""))</f>
        <v/>
      </c>
      <c r="S35" s="38" t="str">
        <f aca="false">IF(OR($E35="",$F35=""),"",IF(AND($E35&lt;=EOMONTH(S$4,0),$F35&gt;=S$4),IF(Plan!$G32="Hito","◆",1),""))</f>
        <v/>
      </c>
      <c r="T35" s="38" t="str">
        <f aca="false">IF(OR($E35="",$F35=""),"",IF(AND($E35&lt;=EOMONTH(T$4,0),$F35&gt;=T$4),IF(Plan!$G32="Hito","◆",1),""))</f>
        <v/>
      </c>
      <c r="U35" s="38" t="str">
        <f aca="false">IF(OR($E35="",$F35=""),"",IF(AND($E35&lt;=EOMONTH(U$4,0),$F35&gt;=U$4),IF(Plan!$G32="Hito","◆",1),""))</f>
        <v/>
      </c>
      <c r="V35" s="38" t="str">
        <f aca="false">IF(OR($E35="",$F35=""),"",IF(AND($E35&lt;=EOMONTH(V$4,0),$F35&gt;=V$4),IF(Plan!$G32="Hito","◆",1),""))</f>
        <v/>
      </c>
      <c r="W35" s="38" t="str">
        <f aca="false">IF(OR($E35="",$F35=""),"",IF(AND($E35&lt;=EOMONTH(W$4,0),$F35&gt;=W$4),IF(Plan!$G32="Hito","◆",1),""))</f>
        <v/>
      </c>
      <c r="X35" s="38" t="str">
        <f aca="false">IF(OR($E35="",$F35=""),"",IF(AND($E35&lt;=EOMONTH(X$4,0),$F35&gt;=X$4),IF(Plan!$G32="Hito","◆",1),""))</f>
        <v/>
      </c>
    </row>
    <row r="36" customFormat="false" ht="15" hidden="false" customHeight="false" outlineLevel="0" collapsed="false">
      <c r="A36" s="36" t="str">
        <f aca="false">IF(Plan!A33="","",Plan!A33)</f>
        <v>3 · Sistemas y herramientas</v>
      </c>
      <c r="B36" s="36" t="str">
        <f aca="false">IF(Plan!B33="","",Plan!B33)</f>
        <v>Algoritmo de combinación en Ondupack (Almendralejo y Navalmoral)</v>
      </c>
      <c r="C36" s="36" t="str">
        <f aca="false">IF(Plan!C33="","",Plan!C33)</f>
        <v>Ondupack Almendralejo</v>
      </c>
      <c r="D36" s="36" t="str">
        <f aca="false">IF(Plan!F33="","",Plan!F33)</f>
        <v>Sistemas de planificación (Technical Lead y desarrollo)</v>
      </c>
      <c r="E36" s="37" t="n">
        <f aca="false">IF(Plan!H33="","",Plan!H33)</f>
        <v>46447</v>
      </c>
      <c r="F36" s="37" t="n">
        <f aca="false">IF(Plan!I33="","",Plan!I33)</f>
        <v>46660</v>
      </c>
      <c r="G36" s="38" t="str">
        <f aca="false">IF(OR($E36="",$F36=""),"",IF(AND($E36&lt;=EOMONTH(G$4,0),$F36&gt;=G$4),IF(Plan!$G33="Hito","◆",1),""))</f>
        <v/>
      </c>
      <c r="H36" s="38" t="str">
        <f aca="false">IF(OR($E36="",$F36=""),"",IF(AND($E36&lt;=EOMONTH(H$4,0),$F36&gt;=H$4),IF(Plan!$G33="Hito","◆",1),""))</f>
        <v/>
      </c>
      <c r="I36" s="38" t="n">
        <f aca="false">IF(OR($E36="",$F36=""),"",IF(AND($E36&lt;=EOMONTH(I$4,0),$F36&gt;=I$4),IF(Plan!$G33="Hito","◆",1),""))</f>
        <v>1</v>
      </c>
      <c r="J36" s="38" t="n">
        <f aca="false">IF(OR($E36="",$F36=""),"",IF(AND($E36&lt;=EOMONTH(J$4,0),$F36&gt;=J$4),IF(Plan!$G33="Hito","◆",1),""))</f>
        <v>1</v>
      </c>
      <c r="K36" s="38" t="n">
        <f aca="false">IF(OR($E36="",$F36=""),"",IF(AND($E36&lt;=EOMONTH(K$4,0),$F36&gt;=K$4),IF(Plan!$G33="Hito","◆",1),""))</f>
        <v>1</v>
      </c>
      <c r="L36" s="38" t="n">
        <f aca="false">IF(OR($E36="",$F36=""),"",IF(AND($E36&lt;=EOMONTH(L$4,0),$F36&gt;=L$4),IF(Plan!$G33="Hito","◆",1),""))</f>
        <v>1</v>
      </c>
      <c r="M36" s="38" t="n">
        <f aca="false">IF(OR($E36="",$F36=""),"",IF(AND($E36&lt;=EOMONTH(M$4,0),$F36&gt;=M$4),IF(Plan!$G33="Hito","◆",1),""))</f>
        <v>1</v>
      </c>
      <c r="N36" s="38" t="n">
        <f aca="false">IF(OR($E36="",$F36=""),"",IF(AND($E36&lt;=EOMONTH(N$4,0),$F36&gt;=N$4),IF(Plan!$G33="Hito","◆",1),""))</f>
        <v>1</v>
      </c>
      <c r="O36" s="38" t="n">
        <f aca="false">IF(OR($E36="",$F36=""),"",IF(AND($E36&lt;=EOMONTH(O$4,0),$F36&gt;=O$4),IF(Plan!$G33="Hito","◆",1),""))</f>
        <v>1</v>
      </c>
      <c r="P36" s="38" t="str">
        <f aca="false">IF(OR($E36="",$F36=""),"",IF(AND($E36&lt;=EOMONTH(P$4,0),$F36&gt;=P$4),IF(Plan!$G33="Hito","◆",1),""))</f>
        <v/>
      </c>
      <c r="Q36" s="38" t="str">
        <f aca="false">IF(OR($E36="",$F36=""),"",IF(AND($E36&lt;=EOMONTH(Q$4,0),$F36&gt;=Q$4),IF(Plan!$G33="Hito","◆",1),""))</f>
        <v/>
      </c>
      <c r="R36" s="38" t="str">
        <f aca="false">IF(OR($E36="",$F36=""),"",IF(AND($E36&lt;=EOMONTH(R$4,0),$F36&gt;=R$4),IF(Plan!$G33="Hito","◆",1),""))</f>
        <v/>
      </c>
      <c r="S36" s="38" t="str">
        <f aca="false">IF(OR($E36="",$F36=""),"",IF(AND($E36&lt;=EOMONTH(S$4,0),$F36&gt;=S$4),IF(Plan!$G33="Hito","◆",1),""))</f>
        <v/>
      </c>
      <c r="T36" s="38" t="str">
        <f aca="false">IF(OR($E36="",$F36=""),"",IF(AND($E36&lt;=EOMONTH(T$4,0),$F36&gt;=T$4),IF(Plan!$G33="Hito","◆",1),""))</f>
        <v/>
      </c>
      <c r="U36" s="38" t="str">
        <f aca="false">IF(OR($E36="",$F36=""),"",IF(AND($E36&lt;=EOMONTH(U$4,0),$F36&gt;=U$4),IF(Plan!$G33="Hito","◆",1),""))</f>
        <v/>
      </c>
      <c r="V36" s="38" t="str">
        <f aca="false">IF(OR($E36="",$F36=""),"",IF(AND($E36&lt;=EOMONTH(V$4,0),$F36&gt;=V$4),IF(Plan!$G33="Hito","◆",1),""))</f>
        <v/>
      </c>
      <c r="W36" s="38" t="str">
        <f aca="false">IF(OR($E36="",$F36=""),"",IF(AND($E36&lt;=EOMONTH(W$4,0),$F36&gt;=W$4),IF(Plan!$G33="Hito","◆",1),""))</f>
        <v/>
      </c>
      <c r="X36" s="38" t="str">
        <f aca="false">IF(OR($E36="",$F36=""),"",IF(AND($E36&lt;=EOMONTH(X$4,0),$F36&gt;=X$4),IF(Plan!$G33="Hito","◆",1),""))</f>
        <v/>
      </c>
    </row>
    <row r="37" customFormat="false" ht="15" hidden="false" customHeight="false" outlineLevel="0" collapsed="false">
      <c r="A37" s="36" t="str">
        <f aca="false">IF(Plan!A34="","",Plan!A34)</f>
        <v>3 · Sistemas y herramientas</v>
      </c>
      <c r="B37" s="36" t="str">
        <f aca="false">IF(Plan!B34="","",Plan!B34)</f>
        <v>Migración de GIO a web en Ondupet</v>
      </c>
      <c r="C37" s="36" t="str">
        <f aca="false">IF(Plan!C34="","",Plan!C34)</f>
        <v>Ondupet</v>
      </c>
      <c r="D37" s="36" t="str">
        <f aca="false">IF(Plan!F34="","",Plan!F34)</f>
        <v>Sistemas de planificación (Technical Lead y desarrollo)</v>
      </c>
      <c r="E37" s="37" t="n">
        <f aca="false">IF(Plan!H34="","",Plan!H34)</f>
        <v>46510</v>
      </c>
      <c r="F37" s="37" t="n">
        <f aca="false">IF(Plan!I34="","",Plan!I34)</f>
        <v>46689</v>
      </c>
      <c r="G37" s="38" t="str">
        <f aca="false">IF(OR($E37="",$F37=""),"",IF(AND($E37&lt;=EOMONTH(G$4,0),$F37&gt;=G$4),IF(Plan!$G34="Hito","◆",1),""))</f>
        <v/>
      </c>
      <c r="H37" s="38" t="str">
        <f aca="false">IF(OR($E37="",$F37=""),"",IF(AND($E37&lt;=EOMONTH(H$4,0),$F37&gt;=H$4),IF(Plan!$G34="Hito","◆",1),""))</f>
        <v/>
      </c>
      <c r="I37" s="38" t="str">
        <f aca="false">IF(OR($E37="",$F37=""),"",IF(AND($E37&lt;=EOMONTH(I$4,0),$F37&gt;=I$4),IF(Plan!$G34="Hito","◆",1),""))</f>
        <v/>
      </c>
      <c r="J37" s="38" t="str">
        <f aca="false">IF(OR($E37="",$F37=""),"",IF(AND($E37&lt;=EOMONTH(J$4,0),$F37&gt;=J$4),IF(Plan!$G34="Hito","◆",1),""))</f>
        <v/>
      </c>
      <c r="K37" s="38" t="n">
        <f aca="false">IF(OR($E37="",$F37=""),"",IF(AND($E37&lt;=EOMONTH(K$4,0),$F37&gt;=K$4),IF(Plan!$G34="Hito","◆",1),""))</f>
        <v>1</v>
      </c>
      <c r="L37" s="38" t="n">
        <f aca="false">IF(OR($E37="",$F37=""),"",IF(AND($E37&lt;=EOMONTH(L$4,0),$F37&gt;=L$4),IF(Plan!$G34="Hito","◆",1),""))</f>
        <v>1</v>
      </c>
      <c r="M37" s="38" t="n">
        <f aca="false">IF(OR($E37="",$F37=""),"",IF(AND($E37&lt;=EOMONTH(M$4,0),$F37&gt;=M$4),IF(Plan!$G34="Hito","◆",1),""))</f>
        <v>1</v>
      </c>
      <c r="N37" s="38" t="n">
        <f aca="false">IF(OR($E37="",$F37=""),"",IF(AND($E37&lt;=EOMONTH(N$4,0),$F37&gt;=N$4),IF(Plan!$G34="Hito","◆",1),""))</f>
        <v>1</v>
      </c>
      <c r="O37" s="38" t="n">
        <f aca="false">IF(OR($E37="",$F37=""),"",IF(AND($E37&lt;=EOMONTH(O$4,0),$F37&gt;=O$4),IF(Plan!$G34="Hito","◆",1),""))</f>
        <v>1</v>
      </c>
      <c r="P37" s="38" t="n">
        <f aca="false">IF(OR($E37="",$F37=""),"",IF(AND($E37&lt;=EOMONTH(P$4,0),$F37&gt;=P$4),IF(Plan!$G34="Hito","◆",1),""))</f>
        <v>1</v>
      </c>
      <c r="Q37" s="38" t="str">
        <f aca="false">IF(OR($E37="",$F37=""),"",IF(AND($E37&lt;=EOMONTH(Q$4,0),$F37&gt;=Q$4),IF(Plan!$G34="Hito","◆",1),""))</f>
        <v/>
      </c>
      <c r="R37" s="38" t="str">
        <f aca="false">IF(OR($E37="",$F37=""),"",IF(AND($E37&lt;=EOMONTH(R$4,0),$F37&gt;=R$4),IF(Plan!$G34="Hito","◆",1),""))</f>
        <v/>
      </c>
      <c r="S37" s="38" t="str">
        <f aca="false">IF(OR($E37="",$F37=""),"",IF(AND($E37&lt;=EOMONTH(S$4,0),$F37&gt;=S$4),IF(Plan!$G34="Hito","◆",1),""))</f>
        <v/>
      </c>
      <c r="T37" s="38" t="str">
        <f aca="false">IF(OR($E37="",$F37=""),"",IF(AND($E37&lt;=EOMONTH(T$4,0),$F37&gt;=T$4),IF(Plan!$G34="Hito","◆",1),""))</f>
        <v/>
      </c>
      <c r="U37" s="38" t="str">
        <f aca="false">IF(OR($E37="",$F37=""),"",IF(AND($E37&lt;=EOMONTH(U$4,0),$F37&gt;=U$4),IF(Plan!$G34="Hito","◆",1),""))</f>
        <v/>
      </c>
      <c r="V37" s="38" t="str">
        <f aca="false">IF(OR($E37="",$F37=""),"",IF(AND($E37&lt;=EOMONTH(V$4,0),$F37&gt;=V$4),IF(Plan!$G34="Hito","◆",1),""))</f>
        <v/>
      </c>
      <c r="W37" s="38" t="str">
        <f aca="false">IF(OR($E37="",$F37=""),"",IF(AND($E37&lt;=EOMONTH(W$4,0),$F37&gt;=W$4),IF(Plan!$G34="Hito","◆",1),""))</f>
        <v/>
      </c>
      <c r="X37" s="38" t="str">
        <f aca="false">IF(OR($E37="",$F37=""),"",IF(AND($E37&lt;=EOMONTH(X$4,0),$F37&gt;=X$4),IF(Plan!$G34="Hito","◆",1),""))</f>
        <v/>
      </c>
    </row>
    <row r="38" customFormat="false" ht="15" hidden="false" customHeight="false" outlineLevel="0" collapsed="false">
      <c r="A38" s="36" t="str">
        <f aca="false">IF(Plan!A35="","",Plan!A35)</f>
        <v>3 · Sistemas y herramientas</v>
      </c>
      <c r="B38" s="36" t="str">
        <f aca="false">IF(Plan!B35="","",Plan!B35)</f>
        <v>PRAE Ondupet: asignación de personas a turnos y máquinas</v>
      </c>
      <c r="C38" s="36" t="str">
        <f aca="false">IF(Plan!C35="","",Plan!C35)</f>
        <v>Ondupet</v>
      </c>
      <c r="D38" s="36" t="str">
        <f aca="false">IF(Plan!F35="","",Plan!F35)</f>
        <v>Sistemas de planificación (Technical Lead y desarrollo)</v>
      </c>
      <c r="E38" s="37" t="n">
        <f aca="false">IF(Plan!H35="","",Plan!H35)</f>
        <v>46636</v>
      </c>
      <c r="F38" s="37" t="n">
        <f aca="false">IF(Plan!I35="","",Plan!I35)</f>
        <v>46843</v>
      </c>
      <c r="G38" s="38" t="str">
        <f aca="false">IF(OR($E38="",$F38=""),"",IF(AND($E38&lt;=EOMONTH(G$4,0),$F38&gt;=G$4),IF(Plan!$G35="Hito","◆",1),""))</f>
        <v/>
      </c>
      <c r="H38" s="38" t="str">
        <f aca="false">IF(OR($E38="",$F38=""),"",IF(AND($E38&lt;=EOMONTH(H$4,0),$F38&gt;=H$4),IF(Plan!$G35="Hito","◆",1),""))</f>
        <v/>
      </c>
      <c r="I38" s="38" t="str">
        <f aca="false">IF(OR($E38="",$F38=""),"",IF(AND($E38&lt;=EOMONTH(I$4,0),$F38&gt;=I$4),IF(Plan!$G35="Hito","◆",1),""))</f>
        <v/>
      </c>
      <c r="J38" s="38" t="str">
        <f aca="false">IF(OR($E38="",$F38=""),"",IF(AND($E38&lt;=EOMONTH(J$4,0),$F38&gt;=J$4),IF(Plan!$G35="Hito","◆",1),""))</f>
        <v/>
      </c>
      <c r="K38" s="38" t="str">
        <f aca="false">IF(OR($E38="",$F38=""),"",IF(AND($E38&lt;=EOMONTH(K$4,0),$F38&gt;=K$4),IF(Plan!$G35="Hito","◆",1),""))</f>
        <v/>
      </c>
      <c r="L38" s="38" t="str">
        <f aca="false">IF(OR($E38="",$F38=""),"",IF(AND($E38&lt;=EOMONTH(L$4,0),$F38&gt;=L$4),IF(Plan!$G35="Hito","◆",1),""))</f>
        <v/>
      </c>
      <c r="M38" s="38" t="str">
        <f aca="false">IF(OR($E38="",$F38=""),"",IF(AND($E38&lt;=EOMONTH(M$4,0),$F38&gt;=M$4),IF(Plan!$G35="Hito","◆",1),""))</f>
        <v/>
      </c>
      <c r="N38" s="38" t="str">
        <f aca="false">IF(OR($E38="",$F38=""),"",IF(AND($E38&lt;=EOMONTH(N$4,0),$F38&gt;=N$4),IF(Plan!$G35="Hito","◆",1),""))</f>
        <v/>
      </c>
      <c r="O38" s="38" t="n">
        <f aca="false">IF(OR($E38="",$F38=""),"",IF(AND($E38&lt;=EOMONTH(O$4,0),$F38&gt;=O$4),IF(Plan!$G35="Hito","◆",1),""))</f>
        <v>1</v>
      </c>
      <c r="P38" s="38" t="n">
        <f aca="false">IF(OR($E38="",$F38=""),"",IF(AND($E38&lt;=EOMONTH(P$4,0),$F38&gt;=P$4),IF(Plan!$G35="Hito","◆",1),""))</f>
        <v>1</v>
      </c>
      <c r="Q38" s="38" t="n">
        <f aca="false">IF(OR($E38="",$F38=""),"",IF(AND($E38&lt;=EOMONTH(Q$4,0),$F38&gt;=Q$4),IF(Plan!$G35="Hito","◆",1),""))</f>
        <v>1</v>
      </c>
      <c r="R38" s="38" t="n">
        <f aca="false">IF(OR($E38="",$F38=""),"",IF(AND($E38&lt;=EOMONTH(R$4,0),$F38&gt;=R$4),IF(Plan!$G35="Hito","◆",1),""))</f>
        <v>1</v>
      </c>
      <c r="S38" s="38" t="n">
        <f aca="false">IF(OR($E38="",$F38=""),"",IF(AND($E38&lt;=EOMONTH(S$4,0),$F38&gt;=S$4),IF(Plan!$G35="Hito","◆",1),""))</f>
        <v>1</v>
      </c>
      <c r="T38" s="38" t="n">
        <f aca="false">IF(OR($E38="",$F38=""),"",IF(AND($E38&lt;=EOMONTH(T$4,0),$F38&gt;=T$4),IF(Plan!$G35="Hito","◆",1),""))</f>
        <v>1</v>
      </c>
      <c r="U38" s="38" t="n">
        <f aca="false">IF(OR($E38="",$F38=""),"",IF(AND($E38&lt;=EOMONTH(U$4,0),$F38&gt;=U$4),IF(Plan!$G35="Hito","◆",1),""))</f>
        <v>1</v>
      </c>
      <c r="V38" s="38" t="str">
        <f aca="false">IF(OR($E38="",$F38=""),"",IF(AND($E38&lt;=EOMONTH(V$4,0),$F38&gt;=V$4),IF(Plan!$G35="Hito","◆",1),""))</f>
        <v/>
      </c>
      <c r="W38" s="38" t="str">
        <f aca="false">IF(OR($E38="",$F38=""),"",IF(AND($E38&lt;=EOMONTH(W$4,0),$F38&gt;=W$4),IF(Plan!$G35="Hito","◆",1),""))</f>
        <v/>
      </c>
      <c r="X38" s="38" t="str">
        <f aca="false">IF(OR($E38="",$F38=""),"",IF(AND($E38&lt;=EOMONTH(X$4,0),$F38&gt;=X$4),IF(Plan!$G35="Hito","◆",1),""))</f>
        <v/>
      </c>
    </row>
    <row r="39" customFormat="false" ht="15" hidden="false" customHeight="false" outlineLevel="0" collapsed="false">
      <c r="A39" s="36" t="str">
        <f aca="false">IF(Plan!A36="","",Plan!A36)</f>
        <v>3 · Sistemas y herramientas</v>
      </c>
      <c r="B39" s="36" t="str">
        <f aca="false">IF(Plan!B36="","",Plan!B36)</f>
        <v>Migración de GIO a web en Ondupack</v>
      </c>
      <c r="C39" s="36" t="str">
        <f aca="false">IF(Plan!C36="","",Plan!C36)</f>
        <v>Ondupack Almendralejo</v>
      </c>
      <c r="D39" s="36" t="str">
        <f aca="false">IF(Plan!F36="","",Plan!F36)</f>
        <v>Sistemas de planificación (Technical Lead y desarrollo)</v>
      </c>
      <c r="E39" s="37" t="n">
        <f aca="false">IF(Plan!H36="","",Plan!H36)</f>
        <v>46664</v>
      </c>
      <c r="F39" s="37" t="n">
        <f aca="false">IF(Plan!I36="","",Plan!I36)</f>
        <v>46843</v>
      </c>
      <c r="G39" s="38" t="str">
        <f aca="false">IF(OR($E39="",$F39=""),"",IF(AND($E39&lt;=EOMONTH(G$4,0),$F39&gt;=G$4),IF(Plan!$G36="Hito","◆",1),""))</f>
        <v/>
      </c>
      <c r="H39" s="38" t="str">
        <f aca="false">IF(OR($E39="",$F39=""),"",IF(AND($E39&lt;=EOMONTH(H$4,0),$F39&gt;=H$4),IF(Plan!$G36="Hito","◆",1),""))</f>
        <v/>
      </c>
      <c r="I39" s="38" t="str">
        <f aca="false">IF(OR($E39="",$F39=""),"",IF(AND($E39&lt;=EOMONTH(I$4,0),$F39&gt;=I$4),IF(Plan!$G36="Hito","◆",1),""))</f>
        <v/>
      </c>
      <c r="J39" s="38" t="str">
        <f aca="false">IF(OR($E39="",$F39=""),"",IF(AND($E39&lt;=EOMONTH(J$4,0),$F39&gt;=J$4),IF(Plan!$G36="Hito","◆",1),""))</f>
        <v/>
      </c>
      <c r="K39" s="38" t="str">
        <f aca="false">IF(OR($E39="",$F39=""),"",IF(AND($E39&lt;=EOMONTH(K$4,0),$F39&gt;=K$4),IF(Plan!$G36="Hito","◆",1),""))</f>
        <v/>
      </c>
      <c r="L39" s="38" t="str">
        <f aca="false">IF(OR($E39="",$F39=""),"",IF(AND($E39&lt;=EOMONTH(L$4,0),$F39&gt;=L$4),IF(Plan!$G36="Hito","◆",1),""))</f>
        <v/>
      </c>
      <c r="M39" s="38" t="str">
        <f aca="false">IF(OR($E39="",$F39=""),"",IF(AND($E39&lt;=EOMONTH(M$4,0),$F39&gt;=M$4),IF(Plan!$G36="Hito","◆",1),""))</f>
        <v/>
      </c>
      <c r="N39" s="38" t="str">
        <f aca="false">IF(OR($E39="",$F39=""),"",IF(AND($E39&lt;=EOMONTH(N$4,0),$F39&gt;=N$4),IF(Plan!$G36="Hito","◆",1),""))</f>
        <v/>
      </c>
      <c r="O39" s="38" t="str">
        <f aca="false">IF(OR($E39="",$F39=""),"",IF(AND($E39&lt;=EOMONTH(O$4,0),$F39&gt;=O$4),IF(Plan!$G36="Hito","◆",1),""))</f>
        <v/>
      </c>
      <c r="P39" s="38" t="n">
        <f aca="false">IF(OR($E39="",$F39=""),"",IF(AND($E39&lt;=EOMONTH(P$4,0),$F39&gt;=P$4),IF(Plan!$G36="Hito","◆",1),""))</f>
        <v>1</v>
      </c>
      <c r="Q39" s="38" t="n">
        <f aca="false">IF(OR($E39="",$F39=""),"",IF(AND($E39&lt;=EOMONTH(Q$4,0),$F39&gt;=Q$4),IF(Plan!$G36="Hito","◆",1),""))</f>
        <v>1</v>
      </c>
      <c r="R39" s="38" t="n">
        <f aca="false">IF(OR($E39="",$F39=""),"",IF(AND($E39&lt;=EOMONTH(R$4,0),$F39&gt;=R$4),IF(Plan!$G36="Hito","◆",1),""))</f>
        <v>1</v>
      </c>
      <c r="S39" s="38" t="n">
        <f aca="false">IF(OR($E39="",$F39=""),"",IF(AND($E39&lt;=EOMONTH(S$4,0),$F39&gt;=S$4),IF(Plan!$G36="Hito","◆",1),""))</f>
        <v>1</v>
      </c>
      <c r="T39" s="38" t="n">
        <f aca="false">IF(OR($E39="",$F39=""),"",IF(AND($E39&lt;=EOMONTH(T$4,0),$F39&gt;=T$4),IF(Plan!$G36="Hito","◆",1),""))</f>
        <v>1</v>
      </c>
      <c r="U39" s="38" t="n">
        <f aca="false">IF(OR($E39="",$F39=""),"",IF(AND($E39&lt;=EOMONTH(U$4,0),$F39&gt;=U$4),IF(Plan!$G36="Hito","◆",1),""))</f>
        <v>1</v>
      </c>
      <c r="V39" s="38" t="str">
        <f aca="false">IF(OR($E39="",$F39=""),"",IF(AND($E39&lt;=EOMONTH(V$4,0),$F39&gt;=V$4),IF(Plan!$G36="Hito","◆",1),""))</f>
        <v/>
      </c>
      <c r="W39" s="38" t="str">
        <f aca="false">IF(OR($E39="",$F39=""),"",IF(AND($E39&lt;=EOMONTH(W$4,0),$F39&gt;=W$4),IF(Plan!$G36="Hito","◆",1),""))</f>
        <v/>
      </c>
      <c r="X39" s="38" t="str">
        <f aca="false">IF(OR($E39="",$F39=""),"",IF(AND($E39&lt;=EOMONTH(X$4,0),$F39&gt;=X$4),IF(Plan!$G36="Hito","◆",1),""))</f>
        <v/>
      </c>
    </row>
    <row r="40" customFormat="false" ht="15" hidden="false" customHeight="false" outlineLevel="0" collapsed="false">
      <c r="A40" s="36" t="str">
        <f aca="false">IF(Plan!A37="","",Plan!A37)</f>
        <v>4 · Despliegue en plantas</v>
      </c>
      <c r="B40" s="36" t="str">
        <f aca="false">IF(Plan!B37="","",Plan!B37)</f>
        <v>Despliegue en Ondupack Almendralejo</v>
      </c>
      <c r="C40" s="36" t="str">
        <f aca="false">IF(Plan!C37="","",Plan!C37)</f>
        <v>Ondupack Almendralejo</v>
      </c>
      <c r="D40" s="36" t="str">
        <f aca="false">IF(Plan!F37="","",Plan!F37)</f>
        <v>Responsable de procesos (Functional Lead)</v>
      </c>
      <c r="E40" s="37" t="n">
        <f aca="false">IF(Plan!H37="","",Plan!H37)</f>
        <v>46545</v>
      </c>
      <c r="F40" s="37" t="n">
        <f aca="false">IF(Plan!I37="","",Plan!I37)</f>
        <v>46689</v>
      </c>
      <c r="G40" s="38" t="str">
        <f aca="false">IF(OR($E40="",$F40=""),"",IF(AND($E40&lt;=EOMONTH(G$4,0),$F40&gt;=G$4),IF(Plan!$G37="Hito","◆",1),""))</f>
        <v/>
      </c>
      <c r="H40" s="38" t="str">
        <f aca="false">IF(OR($E40="",$F40=""),"",IF(AND($E40&lt;=EOMONTH(H$4,0),$F40&gt;=H$4),IF(Plan!$G37="Hito","◆",1),""))</f>
        <v/>
      </c>
      <c r="I40" s="38" t="str">
        <f aca="false">IF(OR($E40="",$F40=""),"",IF(AND($E40&lt;=EOMONTH(I$4,0),$F40&gt;=I$4),IF(Plan!$G37="Hito","◆",1),""))</f>
        <v/>
      </c>
      <c r="J40" s="38" t="str">
        <f aca="false">IF(OR($E40="",$F40=""),"",IF(AND($E40&lt;=EOMONTH(J$4,0),$F40&gt;=J$4),IF(Plan!$G37="Hito","◆",1),""))</f>
        <v/>
      </c>
      <c r="K40" s="38" t="str">
        <f aca="false">IF(OR($E40="",$F40=""),"",IF(AND($E40&lt;=EOMONTH(K$4,0),$F40&gt;=K$4),IF(Plan!$G37="Hito","◆",1),""))</f>
        <v/>
      </c>
      <c r="L40" s="38" t="n">
        <f aca="false">IF(OR($E40="",$F40=""),"",IF(AND($E40&lt;=EOMONTH(L$4,0),$F40&gt;=L$4),IF(Plan!$G37="Hito","◆",1),""))</f>
        <v>1</v>
      </c>
      <c r="M40" s="38" t="n">
        <f aca="false">IF(OR($E40="",$F40=""),"",IF(AND($E40&lt;=EOMONTH(M$4,0),$F40&gt;=M$4),IF(Plan!$G37="Hito","◆",1),""))</f>
        <v>1</v>
      </c>
      <c r="N40" s="38" t="n">
        <f aca="false">IF(OR($E40="",$F40=""),"",IF(AND($E40&lt;=EOMONTH(N$4,0),$F40&gt;=N$4),IF(Plan!$G37="Hito","◆",1),""))</f>
        <v>1</v>
      </c>
      <c r="O40" s="38" t="n">
        <f aca="false">IF(OR($E40="",$F40=""),"",IF(AND($E40&lt;=EOMONTH(O$4,0),$F40&gt;=O$4),IF(Plan!$G37="Hito","◆",1),""))</f>
        <v>1</v>
      </c>
      <c r="P40" s="38" t="n">
        <f aca="false">IF(OR($E40="",$F40=""),"",IF(AND($E40&lt;=EOMONTH(P$4,0),$F40&gt;=P$4),IF(Plan!$G37="Hito","◆",1),""))</f>
        <v>1</v>
      </c>
      <c r="Q40" s="38" t="str">
        <f aca="false">IF(OR($E40="",$F40=""),"",IF(AND($E40&lt;=EOMONTH(Q$4,0),$F40&gt;=Q$4),IF(Plan!$G37="Hito","◆",1),""))</f>
        <v/>
      </c>
      <c r="R40" s="38" t="str">
        <f aca="false">IF(OR($E40="",$F40=""),"",IF(AND($E40&lt;=EOMONTH(R$4,0),$F40&gt;=R$4),IF(Plan!$G37="Hito","◆",1),""))</f>
        <v/>
      </c>
      <c r="S40" s="38" t="str">
        <f aca="false">IF(OR($E40="",$F40=""),"",IF(AND($E40&lt;=EOMONTH(S$4,0),$F40&gt;=S$4),IF(Plan!$G37="Hito","◆",1),""))</f>
        <v/>
      </c>
      <c r="T40" s="38" t="str">
        <f aca="false">IF(OR($E40="",$F40=""),"",IF(AND($E40&lt;=EOMONTH(T$4,0),$F40&gt;=T$4),IF(Plan!$G37="Hito","◆",1),""))</f>
        <v/>
      </c>
      <c r="U40" s="38" t="str">
        <f aca="false">IF(OR($E40="",$F40=""),"",IF(AND($E40&lt;=EOMONTH(U$4,0),$F40&gt;=U$4),IF(Plan!$G37="Hito","◆",1),""))</f>
        <v/>
      </c>
      <c r="V40" s="38" t="str">
        <f aca="false">IF(OR($E40="",$F40=""),"",IF(AND($E40&lt;=EOMONTH(V$4,0),$F40&gt;=V$4),IF(Plan!$G37="Hito","◆",1),""))</f>
        <v/>
      </c>
      <c r="W40" s="38" t="str">
        <f aca="false">IF(OR($E40="",$F40=""),"",IF(AND($E40&lt;=EOMONTH(W$4,0),$F40&gt;=W$4),IF(Plan!$G37="Hito","◆",1),""))</f>
        <v/>
      </c>
      <c r="X40" s="38" t="str">
        <f aca="false">IF(OR($E40="",$F40=""),"",IF(AND($E40&lt;=EOMONTH(X$4,0),$F40&gt;=X$4),IF(Plan!$G37="Hito","◆",1),""))</f>
        <v/>
      </c>
    </row>
    <row r="41" customFormat="false" ht="15" hidden="false" customHeight="false" outlineLevel="0" collapsed="false">
      <c r="A41" s="36" t="str">
        <f aca="false">IF(Plan!A38="","",Plan!A38)</f>
        <v>4 · Despliegue en plantas</v>
      </c>
      <c r="B41" s="36" t="str">
        <f aca="false">IF(Plan!B38="","",Plan!B38)</f>
        <v>Ondupack Almendralejo trabajando con el modelo</v>
      </c>
      <c r="C41" s="36" t="str">
        <f aca="false">IF(Plan!C38="","",Plan!C38)</f>
        <v>Ondupack Almendralejo</v>
      </c>
      <c r="D41" s="36" t="str">
        <f aca="false">IF(Plan!F38="","",Plan!F38)</f>
        <v>Director/a de Planificación</v>
      </c>
      <c r="E41" s="37" t="n">
        <f aca="false">IF(Plan!H38="","",Plan!H38)</f>
        <v>46689</v>
      </c>
      <c r="F41" s="37" t="n">
        <f aca="false">IF(Plan!I38="","",Plan!I38)</f>
        <v>46689</v>
      </c>
      <c r="G41" s="38" t="str">
        <f aca="false">IF(OR($E41="",$F41=""),"",IF(AND($E41&lt;=EOMONTH(G$4,0),$F41&gt;=G$4),IF(Plan!$G38="Hito","◆",1),""))</f>
        <v/>
      </c>
      <c r="H41" s="38" t="str">
        <f aca="false">IF(OR($E41="",$F41=""),"",IF(AND($E41&lt;=EOMONTH(H$4,0),$F41&gt;=H$4),IF(Plan!$G38="Hito","◆",1),""))</f>
        <v/>
      </c>
      <c r="I41" s="38" t="str">
        <f aca="false">IF(OR($E41="",$F41=""),"",IF(AND($E41&lt;=EOMONTH(I$4,0),$F41&gt;=I$4),IF(Plan!$G38="Hito","◆",1),""))</f>
        <v/>
      </c>
      <c r="J41" s="38" t="str">
        <f aca="false">IF(OR($E41="",$F41=""),"",IF(AND($E41&lt;=EOMONTH(J$4,0),$F41&gt;=J$4),IF(Plan!$G38="Hito","◆",1),""))</f>
        <v/>
      </c>
      <c r="K41" s="38" t="str">
        <f aca="false">IF(OR($E41="",$F41=""),"",IF(AND($E41&lt;=EOMONTH(K$4,0),$F41&gt;=K$4),IF(Plan!$G38="Hito","◆",1),""))</f>
        <v/>
      </c>
      <c r="L41" s="38" t="str">
        <f aca="false">IF(OR($E41="",$F41=""),"",IF(AND($E41&lt;=EOMONTH(L$4,0),$F41&gt;=L$4),IF(Plan!$G38="Hito","◆",1),""))</f>
        <v/>
      </c>
      <c r="M41" s="38" t="str">
        <f aca="false">IF(OR($E41="",$F41=""),"",IF(AND($E41&lt;=EOMONTH(M$4,0),$F41&gt;=M$4),IF(Plan!$G38="Hito","◆",1),""))</f>
        <v/>
      </c>
      <c r="N41" s="38" t="str">
        <f aca="false">IF(OR($E41="",$F41=""),"",IF(AND($E41&lt;=EOMONTH(N$4,0),$F41&gt;=N$4),IF(Plan!$G38="Hito","◆",1),""))</f>
        <v/>
      </c>
      <c r="O41" s="38" t="str">
        <f aca="false">IF(OR($E41="",$F41=""),"",IF(AND($E41&lt;=EOMONTH(O$4,0),$F41&gt;=O$4),IF(Plan!$G38="Hito","◆",1),""))</f>
        <v/>
      </c>
      <c r="P41" s="38" t="str">
        <f aca="false">IF(OR($E41="",$F41=""),"",IF(AND($E41&lt;=EOMONTH(P$4,0),$F41&gt;=P$4),IF(Plan!$G38="Hito","◆",1),""))</f>
        <v>◆</v>
      </c>
      <c r="Q41" s="38" t="str">
        <f aca="false">IF(OR($E41="",$F41=""),"",IF(AND($E41&lt;=EOMONTH(Q$4,0),$F41&gt;=Q$4),IF(Plan!$G38="Hito","◆",1),""))</f>
        <v/>
      </c>
      <c r="R41" s="38" t="str">
        <f aca="false">IF(OR($E41="",$F41=""),"",IF(AND($E41&lt;=EOMONTH(R$4,0),$F41&gt;=R$4),IF(Plan!$G38="Hito","◆",1),""))</f>
        <v/>
      </c>
      <c r="S41" s="38" t="str">
        <f aca="false">IF(OR($E41="",$F41=""),"",IF(AND($E41&lt;=EOMONTH(S$4,0),$F41&gt;=S$4),IF(Plan!$G38="Hito","◆",1),""))</f>
        <v/>
      </c>
      <c r="T41" s="38" t="str">
        <f aca="false">IF(OR($E41="",$F41=""),"",IF(AND($E41&lt;=EOMONTH(T$4,0),$F41&gt;=T$4),IF(Plan!$G38="Hito","◆",1),""))</f>
        <v/>
      </c>
      <c r="U41" s="38" t="str">
        <f aca="false">IF(OR($E41="",$F41=""),"",IF(AND($E41&lt;=EOMONTH(U$4,0),$F41&gt;=U$4),IF(Plan!$G38="Hito","◆",1),""))</f>
        <v/>
      </c>
      <c r="V41" s="38" t="str">
        <f aca="false">IF(OR($E41="",$F41=""),"",IF(AND($E41&lt;=EOMONTH(V$4,0),$F41&gt;=V$4),IF(Plan!$G38="Hito","◆",1),""))</f>
        <v/>
      </c>
      <c r="W41" s="38" t="str">
        <f aca="false">IF(OR($E41="",$F41=""),"",IF(AND($E41&lt;=EOMONTH(W$4,0),$F41&gt;=W$4),IF(Plan!$G38="Hito","◆",1),""))</f>
        <v/>
      </c>
      <c r="X41" s="38" t="str">
        <f aca="false">IF(OR($E41="",$F41=""),"",IF(AND($E41&lt;=EOMONTH(X$4,0),$F41&gt;=X$4),IF(Plan!$G38="Hito","◆",1),""))</f>
        <v/>
      </c>
    </row>
    <row r="42" customFormat="false" ht="15" hidden="false" customHeight="false" outlineLevel="0" collapsed="false">
      <c r="A42" s="36" t="str">
        <f aca="false">IF(Plan!A39="","",Plan!A39)</f>
        <v>4 · Despliegue en plantas</v>
      </c>
      <c r="B42" s="36" t="str">
        <f aca="false">IF(Plan!B39="","",Plan!B39)</f>
        <v>Despliegue en Ondupack Navalmoral</v>
      </c>
      <c r="C42" s="36" t="str">
        <f aca="false">IF(Plan!C39="","",Plan!C39)</f>
        <v>Ondupack Navalmoral</v>
      </c>
      <c r="D42" s="36" t="str">
        <f aca="false">IF(Plan!F39="","",Plan!F39)</f>
        <v>Responsable de procesos (Functional Lead)</v>
      </c>
      <c r="E42" s="37" t="n">
        <f aca="false">IF(Plan!H39="","",Plan!H39)</f>
        <v>46636</v>
      </c>
      <c r="F42" s="37" t="n">
        <f aca="false">IF(Plan!I39="","",Plan!I39)</f>
        <v>46738</v>
      </c>
      <c r="G42" s="38" t="str">
        <f aca="false">IF(OR($E42="",$F42=""),"",IF(AND($E42&lt;=EOMONTH(G$4,0),$F42&gt;=G$4),IF(Plan!$G39="Hito","◆",1),""))</f>
        <v/>
      </c>
      <c r="H42" s="38" t="str">
        <f aca="false">IF(OR($E42="",$F42=""),"",IF(AND($E42&lt;=EOMONTH(H$4,0),$F42&gt;=H$4),IF(Plan!$G39="Hito","◆",1),""))</f>
        <v/>
      </c>
      <c r="I42" s="38" t="str">
        <f aca="false">IF(OR($E42="",$F42=""),"",IF(AND($E42&lt;=EOMONTH(I$4,0),$F42&gt;=I$4),IF(Plan!$G39="Hito","◆",1),""))</f>
        <v/>
      </c>
      <c r="J42" s="38" t="str">
        <f aca="false">IF(OR($E42="",$F42=""),"",IF(AND($E42&lt;=EOMONTH(J$4,0),$F42&gt;=J$4),IF(Plan!$G39="Hito","◆",1),""))</f>
        <v/>
      </c>
      <c r="K42" s="38" t="str">
        <f aca="false">IF(OR($E42="",$F42=""),"",IF(AND($E42&lt;=EOMONTH(K$4,0),$F42&gt;=K$4),IF(Plan!$G39="Hito","◆",1),""))</f>
        <v/>
      </c>
      <c r="L42" s="38" t="str">
        <f aca="false">IF(OR($E42="",$F42=""),"",IF(AND($E42&lt;=EOMONTH(L$4,0),$F42&gt;=L$4),IF(Plan!$G39="Hito","◆",1),""))</f>
        <v/>
      </c>
      <c r="M42" s="38" t="str">
        <f aca="false">IF(OR($E42="",$F42=""),"",IF(AND($E42&lt;=EOMONTH(M$4,0),$F42&gt;=M$4),IF(Plan!$G39="Hito","◆",1),""))</f>
        <v/>
      </c>
      <c r="N42" s="38" t="str">
        <f aca="false">IF(OR($E42="",$F42=""),"",IF(AND($E42&lt;=EOMONTH(N$4,0),$F42&gt;=N$4),IF(Plan!$G39="Hito","◆",1),""))</f>
        <v/>
      </c>
      <c r="O42" s="38" t="n">
        <f aca="false">IF(OR($E42="",$F42=""),"",IF(AND($E42&lt;=EOMONTH(O$4,0),$F42&gt;=O$4),IF(Plan!$G39="Hito","◆",1),""))</f>
        <v>1</v>
      </c>
      <c r="P42" s="38" t="n">
        <f aca="false">IF(OR($E42="",$F42=""),"",IF(AND($E42&lt;=EOMONTH(P$4,0),$F42&gt;=P$4),IF(Plan!$G39="Hito","◆",1),""))</f>
        <v>1</v>
      </c>
      <c r="Q42" s="38" t="n">
        <f aca="false">IF(OR($E42="",$F42=""),"",IF(AND($E42&lt;=EOMONTH(Q$4,0),$F42&gt;=Q$4),IF(Plan!$G39="Hito","◆",1),""))</f>
        <v>1</v>
      </c>
      <c r="R42" s="38" t="n">
        <f aca="false">IF(OR($E42="",$F42=""),"",IF(AND($E42&lt;=EOMONTH(R$4,0),$F42&gt;=R$4),IF(Plan!$G39="Hito","◆",1),""))</f>
        <v>1</v>
      </c>
      <c r="S42" s="38" t="str">
        <f aca="false">IF(OR($E42="",$F42=""),"",IF(AND($E42&lt;=EOMONTH(S$4,0),$F42&gt;=S$4),IF(Plan!$G39="Hito","◆",1),""))</f>
        <v/>
      </c>
      <c r="T42" s="38" t="str">
        <f aca="false">IF(OR($E42="",$F42=""),"",IF(AND($E42&lt;=EOMONTH(T$4,0),$F42&gt;=T$4),IF(Plan!$G39="Hito","◆",1),""))</f>
        <v/>
      </c>
      <c r="U42" s="38" t="str">
        <f aca="false">IF(OR($E42="",$F42=""),"",IF(AND($E42&lt;=EOMONTH(U$4,0),$F42&gt;=U$4),IF(Plan!$G39="Hito","◆",1),""))</f>
        <v/>
      </c>
      <c r="V42" s="38" t="str">
        <f aca="false">IF(OR($E42="",$F42=""),"",IF(AND($E42&lt;=EOMONTH(V$4,0),$F42&gt;=V$4),IF(Plan!$G39="Hito","◆",1),""))</f>
        <v/>
      </c>
      <c r="W42" s="38" t="str">
        <f aca="false">IF(OR($E42="",$F42=""),"",IF(AND($E42&lt;=EOMONTH(W$4,0),$F42&gt;=W$4),IF(Plan!$G39="Hito","◆",1),""))</f>
        <v/>
      </c>
      <c r="X42" s="38" t="str">
        <f aca="false">IF(OR($E42="",$F42=""),"",IF(AND($E42&lt;=EOMONTH(X$4,0),$F42&gt;=X$4),IF(Plan!$G39="Hito","◆",1),""))</f>
        <v/>
      </c>
    </row>
    <row r="43" customFormat="false" ht="15" hidden="false" customHeight="false" outlineLevel="0" collapsed="false">
      <c r="A43" s="36" t="str">
        <f aca="false">IF(Plan!A40="","",Plan!A40)</f>
        <v>4 · Despliegue en plantas</v>
      </c>
      <c r="B43" s="36" t="str">
        <f aca="false">IF(Plan!B40="","",Plan!B40)</f>
        <v>Ondupack Navalmoral trabajando con el modelo</v>
      </c>
      <c r="C43" s="36" t="str">
        <f aca="false">IF(Plan!C40="","",Plan!C40)</f>
        <v>Ondupack Navalmoral</v>
      </c>
      <c r="D43" s="36" t="str">
        <f aca="false">IF(Plan!F40="","",Plan!F40)</f>
        <v>Director/a de Planificación</v>
      </c>
      <c r="E43" s="37" t="n">
        <f aca="false">IF(Plan!H40="","",Plan!H40)</f>
        <v>46738</v>
      </c>
      <c r="F43" s="37" t="n">
        <f aca="false">IF(Plan!I40="","",Plan!I40)</f>
        <v>46738</v>
      </c>
      <c r="G43" s="38" t="str">
        <f aca="false">IF(OR($E43="",$F43=""),"",IF(AND($E43&lt;=EOMONTH(G$4,0),$F43&gt;=G$4),IF(Plan!$G40="Hito","◆",1),""))</f>
        <v/>
      </c>
      <c r="H43" s="38" t="str">
        <f aca="false">IF(OR($E43="",$F43=""),"",IF(AND($E43&lt;=EOMONTH(H$4,0),$F43&gt;=H$4),IF(Plan!$G40="Hito","◆",1),""))</f>
        <v/>
      </c>
      <c r="I43" s="38" t="str">
        <f aca="false">IF(OR($E43="",$F43=""),"",IF(AND($E43&lt;=EOMONTH(I$4,0),$F43&gt;=I$4),IF(Plan!$G40="Hito","◆",1),""))</f>
        <v/>
      </c>
      <c r="J43" s="38" t="str">
        <f aca="false">IF(OR($E43="",$F43=""),"",IF(AND($E43&lt;=EOMONTH(J$4,0),$F43&gt;=J$4),IF(Plan!$G40="Hito","◆",1),""))</f>
        <v/>
      </c>
      <c r="K43" s="38" t="str">
        <f aca="false">IF(OR($E43="",$F43=""),"",IF(AND($E43&lt;=EOMONTH(K$4,0),$F43&gt;=K$4),IF(Plan!$G40="Hito","◆",1),""))</f>
        <v/>
      </c>
      <c r="L43" s="38" t="str">
        <f aca="false">IF(OR($E43="",$F43=""),"",IF(AND($E43&lt;=EOMONTH(L$4,0),$F43&gt;=L$4),IF(Plan!$G40="Hito","◆",1),""))</f>
        <v/>
      </c>
      <c r="M43" s="38" t="str">
        <f aca="false">IF(OR($E43="",$F43=""),"",IF(AND($E43&lt;=EOMONTH(M$4,0),$F43&gt;=M$4),IF(Plan!$G40="Hito","◆",1),""))</f>
        <v/>
      </c>
      <c r="N43" s="38" t="str">
        <f aca="false">IF(OR($E43="",$F43=""),"",IF(AND($E43&lt;=EOMONTH(N$4,0),$F43&gt;=N$4),IF(Plan!$G40="Hito","◆",1),""))</f>
        <v/>
      </c>
      <c r="O43" s="38" t="str">
        <f aca="false">IF(OR($E43="",$F43=""),"",IF(AND($E43&lt;=EOMONTH(O$4,0),$F43&gt;=O$4),IF(Plan!$G40="Hito","◆",1),""))</f>
        <v/>
      </c>
      <c r="P43" s="38" t="str">
        <f aca="false">IF(OR($E43="",$F43=""),"",IF(AND($E43&lt;=EOMONTH(P$4,0),$F43&gt;=P$4),IF(Plan!$G40="Hito","◆",1),""))</f>
        <v/>
      </c>
      <c r="Q43" s="38" t="str">
        <f aca="false">IF(OR($E43="",$F43=""),"",IF(AND($E43&lt;=EOMONTH(Q$4,0),$F43&gt;=Q$4),IF(Plan!$G40="Hito","◆",1),""))</f>
        <v/>
      </c>
      <c r="R43" s="38" t="str">
        <f aca="false">IF(OR($E43="",$F43=""),"",IF(AND($E43&lt;=EOMONTH(R$4,0),$F43&gt;=R$4),IF(Plan!$G40="Hito","◆",1),""))</f>
        <v>◆</v>
      </c>
      <c r="S43" s="38" t="str">
        <f aca="false">IF(OR($E43="",$F43=""),"",IF(AND($E43&lt;=EOMONTH(S$4,0),$F43&gt;=S$4),IF(Plan!$G40="Hito","◆",1),""))</f>
        <v/>
      </c>
      <c r="T43" s="38" t="str">
        <f aca="false">IF(OR($E43="",$F43=""),"",IF(AND($E43&lt;=EOMONTH(T$4,0),$F43&gt;=T$4),IF(Plan!$G40="Hito","◆",1),""))</f>
        <v/>
      </c>
      <c r="U43" s="38" t="str">
        <f aca="false">IF(OR($E43="",$F43=""),"",IF(AND($E43&lt;=EOMONTH(U$4,0),$F43&gt;=U$4),IF(Plan!$G40="Hito","◆",1),""))</f>
        <v/>
      </c>
      <c r="V43" s="38" t="str">
        <f aca="false">IF(OR($E43="",$F43=""),"",IF(AND($E43&lt;=EOMONTH(V$4,0),$F43&gt;=V$4),IF(Plan!$G40="Hito","◆",1),""))</f>
        <v/>
      </c>
      <c r="W43" s="38" t="str">
        <f aca="false">IF(OR($E43="",$F43=""),"",IF(AND($E43&lt;=EOMONTH(W$4,0),$F43&gt;=W$4),IF(Plan!$G40="Hito","◆",1),""))</f>
        <v/>
      </c>
      <c r="X43" s="38" t="str">
        <f aca="false">IF(OR($E43="",$F43=""),"",IF(AND($E43&lt;=EOMONTH(X$4,0),$F43&gt;=X$4),IF(Plan!$G40="Hito","◆",1),""))</f>
        <v/>
      </c>
    </row>
    <row r="44" customFormat="false" ht="15" hidden="false" customHeight="false" outlineLevel="0" collapsed="false">
      <c r="A44" s="36" t="str">
        <f aca="false">IF(Plan!A41="","",Plan!A41)</f>
        <v>4 · Despliegue en plantas</v>
      </c>
      <c r="B44" s="36" t="str">
        <f aca="false">IF(Plan!B41="","",Plan!B41)</f>
        <v>Despliegue en MGT y PDA (papeleras)</v>
      </c>
      <c r="C44" s="36" t="str">
        <f aca="false">IF(Plan!C41="","",Plan!C41)</f>
        <v>MGT</v>
      </c>
      <c r="D44" s="36" t="str">
        <f aca="false">IF(Plan!F41="","",Plan!F41)</f>
        <v>Responsable de procesos (Functional Lead)</v>
      </c>
      <c r="E44" s="37" t="n">
        <f aca="false">IF(Plan!H41="","",Plan!H41)</f>
        <v>46664</v>
      </c>
      <c r="F44" s="37" t="n">
        <f aca="false">IF(Plan!I41="","",Plan!I41)</f>
        <v>46808</v>
      </c>
      <c r="G44" s="38" t="str">
        <f aca="false">IF(OR($E44="",$F44=""),"",IF(AND($E44&lt;=EOMONTH(G$4,0),$F44&gt;=G$4),IF(Plan!$G41="Hito","◆",1),""))</f>
        <v/>
      </c>
      <c r="H44" s="38" t="str">
        <f aca="false">IF(OR($E44="",$F44=""),"",IF(AND($E44&lt;=EOMONTH(H$4,0),$F44&gt;=H$4),IF(Plan!$G41="Hito","◆",1),""))</f>
        <v/>
      </c>
      <c r="I44" s="38" t="str">
        <f aca="false">IF(OR($E44="",$F44=""),"",IF(AND($E44&lt;=EOMONTH(I$4,0),$F44&gt;=I$4),IF(Plan!$G41="Hito","◆",1),""))</f>
        <v/>
      </c>
      <c r="J44" s="38" t="str">
        <f aca="false">IF(OR($E44="",$F44=""),"",IF(AND($E44&lt;=EOMONTH(J$4,0),$F44&gt;=J$4),IF(Plan!$G41="Hito","◆",1),""))</f>
        <v/>
      </c>
      <c r="K44" s="38" t="str">
        <f aca="false">IF(OR($E44="",$F44=""),"",IF(AND($E44&lt;=EOMONTH(K$4,0),$F44&gt;=K$4),IF(Plan!$G41="Hito","◆",1),""))</f>
        <v/>
      </c>
      <c r="L44" s="38" t="str">
        <f aca="false">IF(OR($E44="",$F44=""),"",IF(AND($E44&lt;=EOMONTH(L$4,0),$F44&gt;=L$4),IF(Plan!$G41="Hito","◆",1),""))</f>
        <v/>
      </c>
      <c r="M44" s="38" t="str">
        <f aca="false">IF(OR($E44="",$F44=""),"",IF(AND($E44&lt;=EOMONTH(M$4,0),$F44&gt;=M$4),IF(Plan!$G41="Hito","◆",1),""))</f>
        <v/>
      </c>
      <c r="N44" s="38" t="str">
        <f aca="false">IF(OR($E44="",$F44=""),"",IF(AND($E44&lt;=EOMONTH(N$4,0),$F44&gt;=N$4),IF(Plan!$G41="Hito","◆",1),""))</f>
        <v/>
      </c>
      <c r="O44" s="38" t="str">
        <f aca="false">IF(OR($E44="",$F44=""),"",IF(AND($E44&lt;=EOMONTH(O$4,0),$F44&gt;=O$4),IF(Plan!$G41="Hito","◆",1),""))</f>
        <v/>
      </c>
      <c r="P44" s="38" t="n">
        <f aca="false">IF(OR($E44="",$F44=""),"",IF(AND($E44&lt;=EOMONTH(P$4,0),$F44&gt;=P$4),IF(Plan!$G41="Hito","◆",1),""))</f>
        <v>1</v>
      </c>
      <c r="Q44" s="38" t="n">
        <f aca="false">IF(OR($E44="",$F44=""),"",IF(AND($E44&lt;=EOMONTH(Q$4,0),$F44&gt;=Q$4),IF(Plan!$G41="Hito","◆",1),""))</f>
        <v>1</v>
      </c>
      <c r="R44" s="38" t="n">
        <f aca="false">IF(OR($E44="",$F44=""),"",IF(AND($E44&lt;=EOMONTH(R$4,0),$F44&gt;=R$4),IF(Plan!$G41="Hito","◆",1),""))</f>
        <v>1</v>
      </c>
      <c r="S44" s="38" t="n">
        <f aca="false">IF(OR($E44="",$F44=""),"",IF(AND($E44&lt;=EOMONTH(S$4,0),$F44&gt;=S$4),IF(Plan!$G41="Hito","◆",1),""))</f>
        <v>1</v>
      </c>
      <c r="T44" s="38" t="n">
        <f aca="false">IF(OR($E44="",$F44=""),"",IF(AND($E44&lt;=EOMONTH(T$4,0),$F44&gt;=T$4),IF(Plan!$G41="Hito","◆",1),""))</f>
        <v>1</v>
      </c>
      <c r="U44" s="38" t="str">
        <f aca="false">IF(OR($E44="",$F44=""),"",IF(AND($E44&lt;=EOMONTH(U$4,0),$F44&gt;=U$4),IF(Plan!$G41="Hito","◆",1),""))</f>
        <v/>
      </c>
      <c r="V44" s="38" t="str">
        <f aca="false">IF(OR($E44="",$F44=""),"",IF(AND($E44&lt;=EOMONTH(V$4,0),$F44&gt;=V$4),IF(Plan!$G41="Hito","◆",1),""))</f>
        <v/>
      </c>
      <c r="W44" s="38" t="str">
        <f aca="false">IF(OR($E44="",$F44=""),"",IF(AND($E44&lt;=EOMONTH(W$4,0),$F44&gt;=W$4),IF(Plan!$G41="Hito","◆",1),""))</f>
        <v/>
      </c>
      <c r="X44" s="38" t="str">
        <f aca="false">IF(OR($E44="",$F44=""),"",IF(AND($E44&lt;=EOMONTH(X$4,0),$F44&gt;=X$4),IF(Plan!$G41="Hito","◆",1),""))</f>
        <v/>
      </c>
    </row>
    <row r="45" customFormat="false" ht="15" hidden="false" customHeight="false" outlineLevel="0" collapsed="false">
      <c r="A45" s="36" t="str">
        <f aca="false">IF(Plan!A42="","",Plan!A42)</f>
        <v>4 · Despliegue en plantas</v>
      </c>
      <c r="B45" s="36" t="str">
        <f aca="false">IF(Plan!B42="","",Plan!B42)</f>
        <v>MGT y PDA trabajando con el modelo</v>
      </c>
      <c r="C45" s="36" t="str">
        <f aca="false">IF(Plan!C42="","",Plan!C42)</f>
        <v>MGT</v>
      </c>
      <c r="D45" s="36" t="str">
        <f aca="false">IF(Plan!F42="","",Plan!F42)</f>
        <v>Director/a de Planificación</v>
      </c>
      <c r="E45" s="37" t="n">
        <f aca="false">IF(Plan!H42="","",Plan!H42)</f>
        <v>46808</v>
      </c>
      <c r="F45" s="37" t="n">
        <f aca="false">IF(Plan!I42="","",Plan!I42)</f>
        <v>46808</v>
      </c>
      <c r="G45" s="38" t="str">
        <f aca="false">IF(OR($E45="",$F45=""),"",IF(AND($E45&lt;=EOMONTH(G$4,0),$F45&gt;=G$4),IF(Plan!$G42="Hito","◆",1),""))</f>
        <v/>
      </c>
      <c r="H45" s="38" t="str">
        <f aca="false">IF(OR($E45="",$F45=""),"",IF(AND($E45&lt;=EOMONTH(H$4,0),$F45&gt;=H$4),IF(Plan!$G42="Hito","◆",1),""))</f>
        <v/>
      </c>
      <c r="I45" s="38" t="str">
        <f aca="false">IF(OR($E45="",$F45=""),"",IF(AND($E45&lt;=EOMONTH(I$4,0),$F45&gt;=I$4),IF(Plan!$G42="Hito","◆",1),""))</f>
        <v/>
      </c>
      <c r="J45" s="38" t="str">
        <f aca="false">IF(OR($E45="",$F45=""),"",IF(AND($E45&lt;=EOMONTH(J$4,0),$F45&gt;=J$4),IF(Plan!$G42="Hito","◆",1),""))</f>
        <v/>
      </c>
      <c r="K45" s="38" t="str">
        <f aca="false">IF(OR($E45="",$F45=""),"",IF(AND($E45&lt;=EOMONTH(K$4,0),$F45&gt;=K$4),IF(Plan!$G42="Hito","◆",1),""))</f>
        <v/>
      </c>
      <c r="L45" s="38" t="str">
        <f aca="false">IF(OR($E45="",$F45=""),"",IF(AND($E45&lt;=EOMONTH(L$4,0),$F45&gt;=L$4),IF(Plan!$G42="Hito","◆",1),""))</f>
        <v/>
      </c>
      <c r="M45" s="38" t="str">
        <f aca="false">IF(OR($E45="",$F45=""),"",IF(AND($E45&lt;=EOMONTH(M$4,0),$F45&gt;=M$4),IF(Plan!$G42="Hito","◆",1),""))</f>
        <v/>
      </c>
      <c r="N45" s="38" t="str">
        <f aca="false">IF(OR($E45="",$F45=""),"",IF(AND($E45&lt;=EOMONTH(N$4,0),$F45&gt;=N$4),IF(Plan!$G42="Hito","◆",1),""))</f>
        <v/>
      </c>
      <c r="O45" s="38" t="str">
        <f aca="false">IF(OR($E45="",$F45=""),"",IF(AND($E45&lt;=EOMONTH(O$4,0),$F45&gt;=O$4),IF(Plan!$G42="Hito","◆",1),""))</f>
        <v/>
      </c>
      <c r="P45" s="38" t="str">
        <f aca="false">IF(OR($E45="",$F45=""),"",IF(AND($E45&lt;=EOMONTH(P$4,0),$F45&gt;=P$4),IF(Plan!$G42="Hito","◆",1),""))</f>
        <v/>
      </c>
      <c r="Q45" s="38" t="str">
        <f aca="false">IF(OR($E45="",$F45=""),"",IF(AND($E45&lt;=EOMONTH(Q$4,0),$F45&gt;=Q$4),IF(Plan!$G42="Hito","◆",1),""))</f>
        <v/>
      </c>
      <c r="R45" s="38" t="str">
        <f aca="false">IF(OR($E45="",$F45=""),"",IF(AND($E45&lt;=EOMONTH(R$4,0),$F45&gt;=R$4),IF(Plan!$G42="Hito","◆",1),""))</f>
        <v/>
      </c>
      <c r="S45" s="38" t="str">
        <f aca="false">IF(OR($E45="",$F45=""),"",IF(AND($E45&lt;=EOMONTH(S$4,0),$F45&gt;=S$4),IF(Plan!$G42="Hito","◆",1),""))</f>
        <v/>
      </c>
      <c r="T45" s="38" t="str">
        <f aca="false">IF(OR($E45="",$F45=""),"",IF(AND($E45&lt;=EOMONTH(T$4,0),$F45&gt;=T$4),IF(Plan!$G42="Hito","◆",1),""))</f>
        <v>◆</v>
      </c>
      <c r="U45" s="38" t="str">
        <f aca="false">IF(OR($E45="",$F45=""),"",IF(AND($E45&lt;=EOMONTH(U$4,0),$F45&gt;=U$4),IF(Plan!$G42="Hito","◆",1),""))</f>
        <v/>
      </c>
      <c r="V45" s="38" t="str">
        <f aca="false">IF(OR($E45="",$F45=""),"",IF(AND($E45&lt;=EOMONTH(V$4,0),$F45&gt;=V$4),IF(Plan!$G42="Hito","◆",1),""))</f>
        <v/>
      </c>
      <c r="W45" s="38" t="str">
        <f aca="false">IF(OR($E45="",$F45=""),"",IF(AND($E45&lt;=EOMONTH(W$4,0),$F45&gt;=W$4),IF(Plan!$G42="Hito","◆",1),""))</f>
        <v/>
      </c>
      <c r="X45" s="38" t="str">
        <f aca="false">IF(OR($E45="",$F45=""),"",IF(AND($E45&lt;=EOMONTH(X$4,0),$F45&gt;=X$4),IF(Plan!$G42="Hito","◆",1),""))</f>
        <v/>
      </c>
    </row>
    <row r="46" customFormat="false" ht="15" hidden="false" customHeight="false" outlineLevel="0" collapsed="false">
      <c r="A46" s="36" t="str">
        <f aca="false">IF(Plan!A43="","",Plan!A43)</f>
        <v>4 · Despliegue en plantas</v>
      </c>
      <c r="B46" s="36" t="str">
        <f aca="false">IF(Plan!B43="","",Plan!B43)</f>
        <v>Despliegue en Papresa</v>
      </c>
      <c r="C46" s="36" t="str">
        <f aca="false">IF(Plan!C43="","",Plan!C43)</f>
        <v>Papresa</v>
      </c>
      <c r="D46" s="36" t="str">
        <f aca="false">IF(Plan!F43="","",Plan!F43)</f>
        <v>Responsable de procesos (Functional Lead)</v>
      </c>
      <c r="E46" s="37" t="n">
        <f aca="false">IF(Plan!H43="","",Plan!H43)</f>
        <v>46762</v>
      </c>
      <c r="F46" s="37" t="n">
        <f aca="false">IF(Plan!I43="","",Plan!I43)</f>
        <v>46899</v>
      </c>
      <c r="G46" s="38" t="str">
        <f aca="false">IF(OR($E46="",$F46=""),"",IF(AND($E46&lt;=EOMONTH(G$4,0),$F46&gt;=G$4),IF(Plan!$G43="Hito","◆",1),""))</f>
        <v/>
      </c>
      <c r="H46" s="38" t="str">
        <f aca="false">IF(OR($E46="",$F46=""),"",IF(AND($E46&lt;=EOMONTH(H$4,0),$F46&gt;=H$4),IF(Plan!$G43="Hito","◆",1),""))</f>
        <v/>
      </c>
      <c r="I46" s="38" t="str">
        <f aca="false">IF(OR($E46="",$F46=""),"",IF(AND($E46&lt;=EOMONTH(I$4,0),$F46&gt;=I$4),IF(Plan!$G43="Hito","◆",1),""))</f>
        <v/>
      </c>
      <c r="J46" s="38" t="str">
        <f aca="false">IF(OR($E46="",$F46=""),"",IF(AND($E46&lt;=EOMONTH(J$4,0),$F46&gt;=J$4),IF(Plan!$G43="Hito","◆",1),""))</f>
        <v/>
      </c>
      <c r="K46" s="38" t="str">
        <f aca="false">IF(OR($E46="",$F46=""),"",IF(AND($E46&lt;=EOMONTH(K$4,0),$F46&gt;=K$4),IF(Plan!$G43="Hito","◆",1),""))</f>
        <v/>
      </c>
      <c r="L46" s="38" t="str">
        <f aca="false">IF(OR($E46="",$F46=""),"",IF(AND($E46&lt;=EOMONTH(L$4,0),$F46&gt;=L$4),IF(Plan!$G43="Hito","◆",1),""))</f>
        <v/>
      </c>
      <c r="M46" s="38" t="str">
        <f aca="false">IF(OR($E46="",$F46=""),"",IF(AND($E46&lt;=EOMONTH(M$4,0),$F46&gt;=M$4),IF(Plan!$G43="Hito","◆",1),""))</f>
        <v/>
      </c>
      <c r="N46" s="38" t="str">
        <f aca="false">IF(OR($E46="",$F46=""),"",IF(AND($E46&lt;=EOMONTH(N$4,0),$F46&gt;=N$4),IF(Plan!$G43="Hito","◆",1),""))</f>
        <v/>
      </c>
      <c r="O46" s="38" t="str">
        <f aca="false">IF(OR($E46="",$F46=""),"",IF(AND($E46&lt;=EOMONTH(O$4,0),$F46&gt;=O$4),IF(Plan!$G43="Hito","◆",1),""))</f>
        <v/>
      </c>
      <c r="P46" s="38" t="str">
        <f aca="false">IF(OR($E46="",$F46=""),"",IF(AND($E46&lt;=EOMONTH(P$4,0),$F46&gt;=P$4),IF(Plan!$G43="Hito","◆",1),""))</f>
        <v/>
      </c>
      <c r="Q46" s="38" t="str">
        <f aca="false">IF(OR($E46="",$F46=""),"",IF(AND($E46&lt;=EOMONTH(Q$4,0),$F46&gt;=Q$4),IF(Plan!$G43="Hito","◆",1),""))</f>
        <v/>
      </c>
      <c r="R46" s="38" t="str">
        <f aca="false">IF(OR($E46="",$F46=""),"",IF(AND($E46&lt;=EOMONTH(R$4,0),$F46&gt;=R$4),IF(Plan!$G43="Hito","◆",1),""))</f>
        <v/>
      </c>
      <c r="S46" s="38" t="n">
        <f aca="false">IF(OR($E46="",$F46=""),"",IF(AND($E46&lt;=EOMONTH(S$4,0),$F46&gt;=S$4),IF(Plan!$G43="Hito","◆",1),""))</f>
        <v>1</v>
      </c>
      <c r="T46" s="38" t="n">
        <f aca="false">IF(OR($E46="",$F46=""),"",IF(AND($E46&lt;=EOMONTH(T$4,0),$F46&gt;=T$4),IF(Plan!$G43="Hito","◆",1),""))</f>
        <v>1</v>
      </c>
      <c r="U46" s="38" t="n">
        <f aca="false">IF(OR($E46="",$F46=""),"",IF(AND($E46&lt;=EOMONTH(U$4,0),$F46&gt;=U$4),IF(Plan!$G43="Hito","◆",1),""))</f>
        <v>1</v>
      </c>
      <c r="V46" s="38" t="n">
        <f aca="false">IF(OR($E46="",$F46=""),"",IF(AND($E46&lt;=EOMONTH(V$4,0),$F46&gt;=V$4),IF(Plan!$G43="Hito","◆",1),""))</f>
        <v>1</v>
      </c>
      <c r="W46" s="38" t="n">
        <f aca="false">IF(OR($E46="",$F46=""),"",IF(AND($E46&lt;=EOMONTH(W$4,0),$F46&gt;=W$4),IF(Plan!$G43="Hito","◆",1),""))</f>
        <v>1</v>
      </c>
      <c r="X46" s="38" t="str">
        <f aca="false">IF(OR($E46="",$F46=""),"",IF(AND($E46&lt;=EOMONTH(X$4,0),$F46&gt;=X$4),IF(Plan!$G43="Hito","◆",1),""))</f>
        <v/>
      </c>
    </row>
    <row r="47" customFormat="false" ht="15" hidden="false" customHeight="false" outlineLevel="0" collapsed="false">
      <c r="A47" s="36" t="str">
        <f aca="false">IF(Plan!A44="","",Plan!A44)</f>
        <v>4 · Despliegue en plantas</v>
      </c>
      <c r="B47" s="36" t="str">
        <f aca="false">IF(Plan!B44="","",Plan!B44)</f>
        <v>Papresa trabajando con el modelo</v>
      </c>
      <c r="C47" s="36" t="str">
        <f aca="false">IF(Plan!C44="","",Plan!C44)</f>
        <v>Papresa</v>
      </c>
      <c r="D47" s="36" t="str">
        <f aca="false">IF(Plan!F44="","",Plan!F44)</f>
        <v>Director/a de Planificación</v>
      </c>
      <c r="E47" s="37" t="n">
        <f aca="false">IF(Plan!H44="","",Plan!H44)</f>
        <v>46899</v>
      </c>
      <c r="F47" s="37" t="n">
        <f aca="false">IF(Plan!I44="","",Plan!I44)</f>
        <v>46899</v>
      </c>
      <c r="G47" s="38" t="str">
        <f aca="false">IF(OR($E47="",$F47=""),"",IF(AND($E47&lt;=EOMONTH(G$4,0),$F47&gt;=G$4),IF(Plan!$G44="Hito","◆",1),""))</f>
        <v/>
      </c>
      <c r="H47" s="38" t="str">
        <f aca="false">IF(OR($E47="",$F47=""),"",IF(AND($E47&lt;=EOMONTH(H$4,0),$F47&gt;=H$4),IF(Plan!$G44="Hito","◆",1),""))</f>
        <v/>
      </c>
      <c r="I47" s="38" t="str">
        <f aca="false">IF(OR($E47="",$F47=""),"",IF(AND($E47&lt;=EOMONTH(I$4,0),$F47&gt;=I$4),IF(Plan!$G44="Hito","◆",1),""))</f>
        <v/>
      </c>
      <c r="J47" s="38" t="str">
        <f aca="false">IF(OR($E47="",$F47=""),"",IF(AND($E47&lt;=EOMONTH(J$4,0),$F47&gt;=J$4),IF(Plan!$G44="Hito","◆",1),""))</f>
        <v/>
      </c>
      <c r="K47" s="38" t="str">
        <f aca="false">IF(OR($E47="",$F47=""),"",IF(AND($E47&lt;=EOMONTH(K$4,0),$F47&gt;=K$4),IF(Plan!$G44="Hito","◆",1),""))</f>
        <v/>
      </c>
      <c r="L47" s="38" t="str">
        <f aca="false">IF(OR($E47="",$F47=""),"",IF(AND($E47&lt;=EOMONTH(L$4,0),$F47&gt;=L$4),IF(Plan!$G44="Hito","◆",1),""))</f>
        <v/>
      </c>
      <c r="M47" s="38" t="str">
        <f aca="false">IF(OR($E47="",$F47=""),"",IF(AND($E47&lt;=EOMONTH(M$4,0),$F47&gt;=M$4),IF(Plan!$G44="Hito","◆",1),""))</f>
        <v/>
      </c>
      <c r="N47" s="38" t="str">
        <f aca="false">IF(OR($E47="",$F47=""),"",IF(AND($E47&lt;=EOMONTH(N$4,0),$F47&gt;=N$4),IF(Plan!$G44="Hito","◆",1),""))</f>
        <v/>
      </c>
      <c r="O47" s="38" t="str">
        <f aca="false">IF(OR($E47="",$F47=""),"",IF(AND($E47&lt;=EOMONTH(O$4,0),$F47&gt;=O$4),IF(Plan!$G44="Hito","◆",1),""))</f>
        <v/>
      </c>
      <c r="P47" s="38" t="str">
        <f aca="false">IF(OR($E47="",$F47=""),"",IF(AND($E47&lt;=EOMONTH(P$4,0),$F47&gt;=P$4),IF(Plan!$G44="Hito","◆",1),""))</f>
        <v/>
      </c>
      <c r="Q47" s="38" t="str">
        <f aca="false">IF(OR($E47="",$F47=""),"",IF(AND($E47&lt;=EOMONTH(Q$4,0),$F47&gt;=Q$4),IF(Plan!$G44="Hito","◆",1),""))</f>
        <v/>
      </c>
      <c r="R47" s="38" t="str">
        <f aca="false">IF(OR($E47="",$F47=""),"",IF(AND($E47&lt;=EOMONTH(R$4,0),$F47&gt;=R$4),IF(Plan!$G44="Hito","◆",1),""))</f>
        <v/>
      </c>
      <c r="S47" s="38" t="str">
        <f aca="false">IF(OR($E47="",$F47=""),"",IF(AND($E47&lt;=EOMONTH(S$4,0),$F47&gt;=S$4),IF(Plan!$G44="Hito","◆",1),""))</f>
        <v/>
      </c>
      <c r="T47" s="38" t="str">
        <f aca="false">IF(OR($E47="",$F47=""),"",IF(AND($E47&lt;=EOMONTH(T$4,0),$F47&gt;=T$4),IF(Plan!$G44="Hito","◆",1),""))</f>
        <v/>
      </c>
      <c r="U47" s="38" t="str">
        <f aca="false">IF(OR($E47="",$F47=""),"",IF(AND($E47&lt;=EOMONTH(U$4,0),$F47&gt;=U$4),IF(Plan!$G44="Hito","◆",1),""))</f>
        <v/>
      </c>
      <c r="V47" s="38" t="str">
        <f aca="false">IF(OR($E47="",$F47=""),"",IF(AND($E47&lt;=EOMONTH(V$4,0),$F47&gt;=V$4),IF(Plan!$G44="Hito","◆",1),""))</f>
        <v/>
      </c>
      <c r="W47" s="38" t="str">
        <f aca="false">IF(OR($E47="",$F47=""),"",IF(AND($E47&lt;=EOMONTH(W$4,0),$F47&gt;=W$4),IF(Plan!$G44="Hito","◆",1),""))</f>
        <v>◆</v>
      </c>
      <c r="X47" s="38" t="str">
        <f aca="false">IF(OR($E47="",$F47=""),"",IF(AND($E47&lt;=EOMONTH(X$4,0),$F47&gt;=X$4),IF(Plan!$G44="Hito","◆",1),""))</f>
        <v/>
      </c>
    </row>
    <row r="48" customFormat="false" ht="15" hidden="false" customHeight="false" outlineLevel="0" collapsed="false">
      <c r="A48" s="36" t="str">
        <f aca="false">IF(Plan!A45="","",Plan!A45)</f>
        <v>5 · Consolidación</v>
      </c>
      <c r="B48" s="36" t="str">
        <f aca="false">IF(Plan!B45="","",Plan!B45)</f>
        <v>Auditoría trimestral de cumplimiento del modelo por planta</v>
      </c>
      <c r="C48" s="36" t="str">
        <f aca="false">IF(Plan!C45="","",Plan!C45)</f>
        <v>Grupo (todas)</v>
      </c>
      <c r="D48" s="36" t="str">
        <f aca="false">IF(Plan!F45="","",Plan!F45)</f>
        <v>Responsable de procesos (Functional Lead)</v>
      </c>
      <c r="E48" s="37" t="n">
        <f aca="false">IF(Plan!H45="","",Plan!H45)</f>
        <v>46569</v>
      </c>
      <c r="F48" s="37" t="n">
        <f aca="false">IF(Plan!I45="","",Plan!I45)</f>
        <v>46934</v>
      </c>
      <c r="G48" s="38" t="str">
        <f aca="false">IF(OR($E48="",$F48=""),"",IF(AND($E48&lt;=EOMONTH(G$4,0),$F48&gt;=G$4),IF(Plan!$G45="Hito","◆",1),""))</f>
        <v/>
      </c>
      <c r="H48" s="38" t="str">
        <f aca="false">IF(OR($E48="",$F48=""),"",IF(AND($E48&lt;=EOMONTH(H$4,0),$F48&gt;=H$4),IF(Plan!$G45="Hito","◆",1),""))</f>
        <v/>
      </c>
      <c r="I48" s="38" t="str">
        <f aca="false">IF(OR($E48="",$F48=""),"",IF(AND($E48&lt;=EOMONTH(I$4,0),$F48&gt;=I$4),IF(Plan!$G45="Hito","◆",1),""))</f>
        <v/>
      </c>
      <c r="J48" s="38" t="str">
        <f aca="false">IF(OR($E48="",$F48=""),"",IF(AND($E48&lt;=EOMONTH(J$4,0),$F48&gt;=J$4),IF(Plan!$G45="Hito","◆",1),""))</f>
        <v/>
      </c>
      <c r="K48" s="38" t="str">
        <f aca="false">IF(OR($E48="",$F48=""),"",IF(AND($E48&lt;=EOMONTH(K$4,0),$F48&gt;=K$4),IF(Plan!$G45="Hito","◆",1),""))</f>
        <v/>
      </c>
      <c r="L48" s="38" t="str">
        <f aca="false">IF(OR($E48="",$F48=""),"",IF(AND($E48&lt;=EOMONTH(L$4,0),$F48&gt;=L$4),IF(Plan!$G45="Hito","◆",1),""))</f>
        <v/>
      </c>
      <c r="M48" s="38" t="n">
        <f aca="false">IF(OR($E48="",$F48=""),"",IF(AND($E48&lt;=EOMONTH(M$4,0),$F48&gt;=M$4),IF(Plan!$G45="Hito","◆",1),""))</f>
        <v>1</v>
      </c>
      <c r="N48" s="38" t="n">
        <f aca="false">IF(OR($E48="",$F48=""),"",IF(AND($E48&lt;=EOMONTH(N$4,0),$F48&gt;=N$4),IF(Plan!$G45="Hito","◆",1),""))</f>
        <v>1</v>
      </c>
      <c r="O48" s="38" t="n">
        <f aca="false">IF(OR($E48="",$F48=""),"",IF(AND($E48&lt;=EOMONTH(O$4,0),$F48&gt;=O$4),IF(Plan!$G45="Hito","◆",1),""))</f>
        <v>1</v>
      </c>
      <c r="P48" s="38" t="n">
        <f aca="false">IF(OR($E48="",$F48=""),"",IF(AND($E48&lt;=EOMONTH(P$4,0),$F48&gt;=P$4),IF(Plan!$G45="Hito","◆",1),""))</f>
        <v>1</v>
      </c>
      <c r="Q48" s="38" t="n">
        <f aca="false">IF(OR($E48="",$F48=""),"",IF(AND($E48&lt;=EOMONTH(Q$4,0),$F48&gt;=Q$4),IF(Plan!$G45="Hito","◆",1),""))</f>
        <v>1</v>
      </c>
      <c r="R48" s="38" t="n">
        <f aca="false">IF(OR($E48="",$F48=""),"",IF(AND($E48&lt;=EOMONTH(R$4,0),$F48&gt;=R$4),IF(Plan!$G45="Hito","◆",1),""))</f>
        <v>1</v>
      </c>
      <c r="S48" s="38" t="n">
        <f aca="false">IF(OR($E48="",$F48=""),"",IF(AND($E48&lt;=EOMONTH(S$4,0),$F48&gt;=S$4),IF(Plan!$G45="Hito","◆",1),""))</f>
        <v>1</v>
      </c>
      <c r="T48" s="38" t="n">
        <f aca="false">IF(OR($E48="",$F48=""),"",IF(AND($E48&lt;=EOMONTH(T$4,0),$F48&gt;=T$4),IF(Plan!$G45="Hito","◆",1),""))</f>
        <v>1</v>
      </c>
      <c r="U48" s="38" t="n">
        <f aca="false">IF(OR($E48="",$F48=""),"",IF(AND($E48&lt;=EOMONTH(U$4,0),$F48&gt;=U$4),IF(Plan!$G45="Hito","◆",1),""))</f>
        <v>1</v>
      </c>
      <c r="V48" s="38" t="n">
        <f aca="false">IF(OR($E48="",$F48=""),"",IF(AND($E48&lt;=EOMONTH(V$4,0),$F48&gt;=V$4),IF(Plan!$G45="Hito","◆",1),""))</f>
        <v>1</v>
      </c>
      <c r="W48" s="38" t="n">
        <f aca="false">IF(OR($E48="",$F48=""),"",IF(AND($E48&lt;=EOMONTH(W$4,0),$F48&gt;=W$4),IF(Plan!$G45="Hito","◆",1),""))</f>
        <v>1</v>
      </c>
      <c r="X48" s="38" t="n">
        <f aca="false">IF(OR($E48="",$F48=""),"",IF(AND($E48&lt;=EOMONTH(X$4,0),$F48&gt;=X$4),IF(Plan!$G45="Hito","◆",1),""))</f>
        <v>1</v>
      </c>
    </row>
    <row r="49" customFormat="false" ht="15" hidden="false" customHeight="false" outlineLevel="0" collapsed="false">
      <c r="A49" s="36" t="str">
        <f aca="false">IF(Plan!A46="","",Plan!A46)</f>
        <v>5 · Consolidación</v>
      </c>
      <c r="B49" s="36" t="str">
        <f aca="false">IF(Plan!B46="","",Plan!B46)</f>
        <v>Revisión anual del modelo: RACI, políticas y KPIs</v>
      </c>
      <c r="C49" s="36" t="str">
        <f aca="false">IF(Plan!C46="","",Plan!C46)</f>
        <v>Grupo (todas)</v>
      </c>
      <c r="D49" s="36" t="str">
        <f aca="false">IF(Plan!F46="","",Plan!F46)</f>
        <v>Director/a de Planificación</v>
      </c>
      <c r="E49" s="37" t="n">
        <f aca="false">IF(Plan!H46="","",Plan!H46)</f>
        <v>46722</v>
      </c>
      <c r="F49" s="37" t="n">
        <f aca="false">IF(Plan!I46="","",Plan!I46)</f>
        <v>46780</v>
      </c>
      <c r="G49" s="38" t="str">
        <f aca="false">IF(OR($E49="",$F49=""),"",IF(AND($E49&lt;=EOMONTH(G$4,0),$F49&gt;=G$4),IF(Plan!$G46="Hito","◆",1),""))</f>
        <v/>
      </c>
      <c r="H49" s="38" t="str">
        <f aca="false">IF(OR($E49="",$F49=""),"",IF(AND($E49&lt;=EOMONTH(H$4,0),$F49&gt;=H$4),IF(Plan!$G46="Hito","◆",1),""))</f>
        <v/>
      </c>
      <c r="I49" s="38" t="str">
        <f aca="false">IF(OR($E49="",$F49=""),"",IF(AND($E49&lt;=EOMONTH(I$4,0),$F49&gt;=I$4),IF(Plan!$G46="Hito","◆",1),""))</f>
        <v/>
      </c>
      <c r="J49" s="38" t="str">
        <f aca="false">IF(OR($E49="",$F49=""),"",IF(AND($E49&lt;=EOMONTH(J$4,0),$F49&gt;=J$4),IF(Plan!$G46="Hito","◆",1),""))</f>
        <v/>
      </c>
      <c r="K49" s="38" t="str">
        <f aca="false">IF(OR($E49="",$F49=""),"",IF(AND($E49&lt;=EOMONTH(K$4,0),$F49&gt;=K$4),IF(Plan!$G46="Hito","◆",1),""))</f>
        <v/>
      </c>
      <c r="L49" s="38" t="str">
        <f aca="false">IF(OR($E49="",$F49=""),"",IF(AND($E49&lt;=EOMONTH(L$4,0),$F49&gt;=L$4),IF(Plan!$G46="Hito","◆",1),""))</f>
        <v/>
      </c>
      <c r="M49" s="38" t="str">
        <f aca="false">IF(OR($E49="",$F49=""),"",IF(AND($E49&lt;=EOMONTH(M$4,0),$F49&gt;=M$4),IF(Plan!$G46="Hito","◆",1),""))</f>
        <v/>
      </c>
      <c r="N49" s="38" t="str">
        <f aca="false">IF(OR($E49="",$F49=""),"",IF(AND($E49&lt;=EOMONTH(N$4,0),$F49&gt;=N$4),IF(Plan!$G46="Hito","◆",1),""))</f>
        <v/>
      </c>
      <c r="O49" s="38" t="str">
        <f aca="false">IF(OR($E49="",$F49=""),"",IF(AND($E49&lt;=EOMONTH(O$4,0),$F49&gt;=O$4),IF(Plan!$G46="Hito","◆",1),""))</f>
        <v/>
      </c>
      <c r="P49" s="38" t="str">
        <f aca="false">IF(OR($E49="",$F49=""),"",IF(AND($E49&lt;=EOMONTH(P$4,0),$F49&gt;=P$4),IF(Plan!$G46="Hito","◆",1),""))</f>
        <v/>
      </c>
      <c r="Q49" s="38" t="str">
        <f aca="false">IF(OR($E49="",$F49=""),"",IF(AND($E49&lt;=EOMONTH(Q$4,0),$F49&gt;=Q$4),IF(Plan!$G46="Hito","◆",1),""))</f>
        <v/>
      </c>
      <c r="R49" s="38" t="n">
        <f aca="false">IF(OR($E49="",$F49=""),"",IF(AND($E49&lt;=EOMONTH(R$4,0),$F49&gt;=R$4),IF(Plan!$G46="Hito","◆",1),""))</f>
        <v>1</v>
      </c>
      <c r="S49" s="38" t="n">
        <f aca="false">IF(OR($E49="",$F49=""),"",IF(AND($E49&lt;=EOMONTH(S$4,0),$F49&gt;=S$4),IF(Plan!$G46="Hito","◆",1),""))</f>
        <v>1</v>
      </c>
      <c r="T49" s="38" t="str">
        <f aca="false">IF(OR($E49="",$F49=""),"",IF(AND($E49&lt;=EOMONTH(T$4,0),$F49&gt;=T$4),IF(Plan!$G46="Hito","◆",1),""))</f>
        <v/>
      </c>
      <c r="U49" s="38" t="str">
        <f aca="false">IF(OR($E49="",$F49=""),"",IF(AND($E49&lt;=EOMONTH(U$4,0),$F49&gt;=U$4),IF(Plan!$G46="Hito","◆",1),""))</f>
        <v/>
      </c>
      <c r="V49" s="38" t="str">
        <f aca="false">IF(OR($E49="",$F49=""),"",IF(AND($E49&lt;=EOMONTH(V$4,0),$F49&gt;=V$4),IF(Plan!$G46="Hito","◆",1),""))</f>
        <v/>
      </c>
      <c r="W49" s="38" t="str">
        <f aca="false">IF(OR($E49="",$F49=""),"",IF(AND($E49&lt;=EOMONTH(W$4,0),$F49&gt;=W$4),IF(Plan!$G46="Hito","◆",1),""))</f>
        <v/>
      </c>
      <c r="X49" s="38" t="str">
        <f aca="false">IF(OR($E49="",$F49=""),"",IF(AND($E49&lt;=EOMONTH(X$4,0),$F49&gt;=X$4),IF(Plan!$G46="Hito","◆",1),""))</f>
        <v/>
      </c>
    </row>
    <row r="50" customFormat="false" ht="15" hidden="false" customHeight="false" outlineLevel="0" collapsed="false">
      <c r="A50" s="36" t="str">
        <f aca="false">IF(Plan!A47="","",Plan!A47)</f>
        <v>5 · Consolidación</v>
      </c>
      <c r="B50" s="36" t="str">
        <f aca="false">IF(Plan!B47="","",Plan!B47)</f>
        <v>Modelo desplegado en todo el grupo</v>
      </c>
      <c r="C50" s="36" t="str">
        <f aca="false">IF(Plan!C47="","",Plan!C47)</f>
        <v>Grupo (todas)</v>
      </c>
      <c r="D50" s="36" t="str">
        <f aca="false">IF(Plan!F47="","",Plan!F47)</f>
        <v>Director/a de Planificación</v>
      </c>
      <c r="E50" s="37" t="n">
        <f aca="false">IF(Plan!H47="","",Plan!H47)</f>
        <v>46934</v>
      </c>
      <c r="F50" s="37" t="n">
        <f aca="false">IF(Plan!I47="","",Plan!I47)</f>
        <v>46934</v>
      </c>
      <c r="G50" s="38" t="str">
        <f aca="false">IF(OR($E50="",$F50=""),"",IF(AND($E50&lt;=EOMONTH(G$4,0),$F50&gt;=G$4),IF(Plan!$G47="Hito","◆",1),""))</f>
        <v/>
      </c>
      <c r="H50" s="38" t="str">
        <f aca="false">IF(OR($E50="",$F50=""),"",IF(AND($E50&lt;=EOMONTH(H$4,0),$F50&gt;=H$4),IF(Plan!$G47="Hito","◆",1),""))</f>
        <v/>
      </c>
      <c r="I50" s="38" t="str">
        <f aca="false">IF(OR($E50="",$F50=""),"",IF(AND($E50&lt;=EOMONTH(I$4,0),$F50&gt;=I$4),IF(Plan!$G47="Hito","◆",1),""))</f>
        <v/>
      </c>
      <c r="J50" s="38" t="str">
        <f aca="false">IF(OR($E50="",$F50=""),"",IF(AND($E50&lt;=EOMONTH(J$4,0),$F50&gt;=J$4),IF(Plan!$G47="Hito","◆",1),""))</f>
        <v/>
      </c>
      <c r="K50" s="38" t="str">
        <f aca="false">IF(OR($E50="",$F50=""),"",IF(AND($E50&lt;=EOMONTH(K$4,0),$F50&gt;=K$4),IF(Plan!$G47="Hito","◆",1),""))</f>
        <v/>
      </c>
      <c r="L50" s="38" t="str">
        <f aca="false">IF(OR($E50="",$F50=""),"",IF(AND($E50&lt;=EOMONTH(L$4,0),$F50&gt;=L$4),IF(Plan!$G47="Hito","◆",1),""))</f>
        <v/>
      </c>
      <c r="M50" s="38" t="str">
        <f aca="false">IF(OR($E50="",$F50=""),"",IF(AND($E50&lt;=EOMONTH(M$4,0),$F50&gt;=M$4),IF(Plan!$G47="Hito","◆",1),""))</f>
        <v/>
      </c>
      <c r="N50" s="38" t="str">
        <f aca="false">IF(OR($E50="",$F50=""),"",IF(AND($E50&lt;=EOMONTH(N$4,0),$F50&gt;=N$4),IF(Plan!$G47="Hito","◆",1),""))</f>
        <v/>
      </c>
      <c r="O50" s="38" t="str">
        <f aca="false">IF(OR($E50="",$F50=""),"",IF(AND($E50&lt;=EOMONTH(O$4,0),$F50&gt;=O$4),IF(Plan!$G47="Hito","◆",1),""))</f>
        <v/>
      </c>
      <c r="P50" s="38" t="str">
        <f aca="false">IF(OR($E50="",$F50=""),"",IF(AND($E50&lt;=EOMONTH(P$4,0),$F50&gt;=P$4),IF(Plan!$G47="Hito","◆",1),""))</f>
        <v/>
      </c>
      <c r="Q50" s="38" t="str">
        <f aca="false">IF(OR($E50="",$F50=""),"",IF(AND($E50&lt;=EOMONTH(Q$4,0),$F50&gt;=Q$4),IF(Plan!$G47="Hito","◆",1),""))</f>
        <v/>
      </c>
      <c r="R50" s="38" t="str">
        <f aca="false">IF(OR($E50="",$F50=""),"",IF(AND($E50&lt;=EOMONTH(R$4,0),$F50&gt;=R$4),IF(Plan!$G47="Hito","◆",1),""))</f>
        <v/>
      </c>
      <c r="S50" s="38" t="str">
        <f aca="false">IF(OR($E50="",$F50=""),"",IF(AND($E50&lt;=EOMONTH(S$4,0),$F50&gt;=S$4),IF(Plan!$G47="Hito","◆",1),""))</f>
        <v/>
      </c>
      <c r="T50" s="38" t="str">
        <f aca="false">IF(OR($E50="",$F50=""),"",IF(AND($E50&lt;=EOMONTH(T$4,0),$F50&gt;=T$4),IF(Plan!$G47="Hito","◆",1),""))</f>
        <v/>
      </c>
      <c r="U50" s="38" t="str">
        <f aca="false">IF(OR($E50="",$F50=""),"",IF(AND($E50&lt;=EOMONTH(U$4,0),$F50&gt;=U$4),IF(Plan!$G47="Hito","◆",1),""))</f>
        <v/>
      </c>
      <c r="V50" s="38" t="str">
        <f aca="false">IF(OR($E50="",$F50=""),"",IF(AND($E50&lt;=EOMONTH(V$4,0),$F50&gt;=V$4),IF(Plan!$G47="Hito","◆",1),""))</f>
        <v/>
      </c>
      <c r="W50" s="38" t="str">
        <f aca="false">IF(OR($E50="",$F50=""),"",IF(AND($E50&lt;=EOMONTH(W$4,0),$F50&gt;=W$4),IF(Plan!$G47="Hito","◆",1),""))</f>
        <v/>
      </c>
      <c r="X50" s="38" t="str">
        <f aca="false">IF(OR($E50="",$F50=""),"",IF(AND($E50&lt;=EOMONTH(X$4,0),$F50&gt;=X$4),IF(Plan!$G47="Hito","◆",1),""))</f>
        <v>◆</v>
      </c>
    </row>
  </sheetData>
  <conditionalFormatting sqref="G5:X50">
    <cfRule type="expression" priority="2" aboveAverage="0" equalAverage="0" bottom="0" percent="0" rank="0" text="" dxfId="19">
      <formula>AND(G5=1,$A5="1 · Gobierno y estándares")</formula>
    </cfRule>
    <cfRule type="expression" priority="3" aboveAverage="0" equalAverage="0" bottom="0" percent="0" rank="0" text="" dxfId="20">
      <formula>AND(G5=1,$A5="2 · Piloto Ondupet")</formula>
    </cfRule>
    <cfRule type="expression" priority="4" aboveAverage="0" equalAverage="0" bottom="0" percent="0" rank="0" text="" dxfId="21">
      <formula>AND(G5=1,$A5="3 · Sistemas y herramientas")</formula>
    </cfRule>
    <cfRule type="expression" priority="5" aboveAverage="0" equalAverage="0" bottom="0" percent="0" rank="0" text="" dxfId="22">
      <formula>AND(G5=1,$A5="4 · Despliegue en plantas")</formula>
    </cfRule>
    <cfRule type="expression" priority="6" aboveAverage="0" equalAverage="0" bottom="0" percent="0" rank="0" text="" dxfId="23">
      <formula>AND(G5=1,$A5="5 · Consolidación")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2026-10-08T10:44:02Z</dcterms:created>
  <dc:creator>openpyxl</dc:creator>
  <dc:description/>
  <dc:language>en-US</dc:language>
  <cp:lastModifiedBy/>
  <dcterms:modified xsi:type="dcterms:W3CDTF">2026-10-08T10:44:03Z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